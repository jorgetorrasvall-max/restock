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-Stock Playbook" sheetId="1" state="visible" r:id="rId3"/>
    <sheet name="Comparativa v2 vs v3" sheetId="2" state="visible" r:id="rId4"/>
    <sheet name="Path to 10M v3" sheetId="3" state="visible" r:id="rId5"/>
    <sheet name="Plan Implementacion" sheetId="4" state="visible" r:id="rId6"/>
    <sheet name="ARPA Multicapa v3" sheetId="5" state="visible" r:id="rId7"/>
    <sheet name="Path to 10M ARR v3" sheetId="6" state="visible" r:id="rId8"/>
    <sheet name="Dashboard" sheetId="7" state="visible" r:id="rId9"/>
    <sheet name="Phases" sheetId="8" state="visible" r:id="rId10"/>
    <sheet name="Monthly 24m" sheetId="9" state="visible" r:id="rId11"/>
    <sheet name="Use of Funds" sheetId="10" state="visible" r:id="rId12"/>
    <sheet name="KPI Goldman" sheetId="11" state="visible" r:id="rId13"/>
    <sheet name="Valuation" sheetId="12" state="visible" r:id="rId14"/>
    <sheet name="Assumptions" sheetId="13" state="visible" r:id="rId15"/>
    <sheet name="Gross Margin" sheetId="14" state="visible" r:id="rId16"/>
    <sheet name="LTV" sheetId="15" state="visible" r:id="rId17"/>
    <sheet name="CAC" sheetId="16" state="visible" r:id="rId18"/>
    <sheet name="Cohort Cash Flow" sheetId="17" state="visible" r:id="rId19"/>
    <sheet name="Break-even" sheetId="18" state="visible" r:id="rId20"/>
    <sheet name="Sensibilidad" sheetId="19" state="visible" r:id="rId21"/>
    <sheet name="Path to 10M ARR" sheetId="20" state="visible" r:id="rId22"/>
    <sheet name="Red Flags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<sst xmlns="http://schemas.openxmlformats.org/spreadsheetml/2006/main" count="1140" uniqueCount="896">
  <si>
    <t xml:space="preserve">RESTOCK · ARQUITECTURA DE MONETIZACIÓN B-STOCK PLAYBOOK</t>
  </si>
  <si>
    <t xml:space="preserve">7 palancas extraídas de B-Stock + Liquidation.com aplicadas a ReStock</t>
  </si>
  <si>
    <t xml:space="preserve">LAS 7 PALANCAS · IMPACTO INDIVIDUAL Y ACUMULADO</t>
  </si>
  <si>
    <t xml:space="preserve">#</t>
  </si>
  <si>
    <t xml:space="preserve">Palanca</t>
  </si>
  <si>
    <t xml:space="preserve">Fuente</t>
  </si>
  <si>
    <t xml:space="preserve">Mecanismo</t>
  </si>
  <si>
    <t xml:space="preserve">Impacto ARPA (€/año)</t>
  </si>
  <si>
    <t xml:space="preserve">Impacto Take Rate</t>
  </si>
  <si>
    <t xml:space="preserve">Fase</t>
  </si>
  <si>
    <t xml:space="preserve">Buyer's Premium escalonada</t>
  </si>
  <si>
    <t xml:space="preserve">Liquidation.com</t>
  </si>
  <si>
    <t xml:space="preserve">6% / 4% / 2.5% por tramos vs 4% plano</t>
  </si>
  <si>
    <t xml:space="preserve">+1.0 pp</t>
  </si>
  <si>
    <t xml:space="preserve">F1 (M0-M6)</t>
  </si>
  <si>
    <t xml:space="preserve">Suscripcion Pro 49€/mes desde dia 1</t>
  </si>
  <si>
    <t xml:space="preserve">B-Stock Supply</t>
  </si>
  <si>
    <t xml:space="preserve">Free + Pro 49€ + Power 99€ con adopcion 15-20% blended</t>
  </si>
  <si>
    <t xml:space="preserve">Modelo SaaS</t>
  </si>
  <si>
    <t xml:space="preserve">F1-F2 (M3-M9)</t>
  </si>
  <si>
    <t xml:space="preserve">Fee de listado 15€ (waiver &gt;300€)</t>
  </si>
  <si>
    <t xml:space="preserve">B-Stock Supply 50$ fee</t>
  </si>
  <si>
    <t xml:space="preserve">Fee 15€ con waiver para lotes &gt;=300€ -&gt; fuerza AOV alto</t>
  </si>
  <si>
    <t xml:space="preserve">+0.8 pp</t>
  </si>
  <si>
    <t xml:space="preserve">F2 (M7-M12)</t>
  </si>
  <si>
    <t xml:space="preserve">Marketplaces verticales privados</t>
  </si>
  <si>
    <t xml:space="preserve">B-Stock private marketplaces</t>
  </si>
  <si>
    <t xml:space="preserve">ReStock Moda / Electronica / Hogar con take rate diferencial</t>
  </si>
  <si>
    <t xml:space="preserve">+0.5 pp</t>
  </si>
  <si>
    <t xml:space="preserve">F3 (M13-M18)</t>
  </si>
  <si>
    <t xml:space="preserve">Clasificacion de calidad (4 grados)</t>
  </si>
  <si>
    <t xml:space="preserve">B-Stock Blue/Returns/etc.</t>
  </si>
  <si>
    <t xml:space="preserve">Nuevo / Verified / Shelf Pull / Salvage -&gt; sube AOV percibido</t>
  </si>
  <si>
    <t xml:space="preserve">Sube AOV</t>
  </si>
  <si>
    <t xml:space="preserve">Clausula anti-bypass 12 meses 15%</t>
  </si>
  <si>
    <t xml:space="preserve">Liquidation.com T&amp;C</t>
  </si>
  <si>
    <t xml:space="preserve">Reduce churn estructural por desintermediacion 40% -&gt; 28%</t>
  </si>
  <si>
    <t xml:space="preserve">Protege LTV</t>
  </si>
  <si>
    <t xml:space="preserve">F1 (M0)</t>
  </si>
  <si>
    <t xml:space="preserve">Logistica como profit center</t>
  </si>
  <si>
    <t xml:space="preserve">Liquidation.com fees</t>
  </si>
  <si>
    <t xml:space="preserve">Cargo prep 25€ + entrega comercial 15€ + 18% margen flete</t>
  </si>
  <si>
    <t xml:space="preserve">+1.5 pp</t>
  </si>
  <si>
    <t xml:space="preserve">F3 (M13+)</t>
  </si>
  <si>
    <t xml:space="preserve">TOTAL ACUMULADO (todas activas)</t>
  </si>
  <si>
    <t xml:space="preserve">+3.8 pp efectivo</t>
  </si>
  <si>
    <t xml:space="preserve">INPUTS EDITABLES · PALANCAS DEL PLAYBOOK</t>
  </si>
  <si>
    <t xml:space="preserve">Variable</t>
  </si>
  <si>
    <t xml:space="preserve">Valor</t>
  </si>
  <si>
    <t xml:space="preserve">Unidad</t>
  </si>
  <si>
    <t xml:space="preserve">Notas</t>
  </si>
  <si>
    <t xml:space="preserve">--- PALANCA 1: Buyer's Premium escalonada ---</t>
  </si>
  <si>
    <t xml:space="preserve">BP tramo 1 (&lt;=500€)</t>
  </si>
  <si>
    <t xml:space="preserve">%</t>
  </si>
  <si>
    <t xml:space="preserve">vs 4% plano actual</t>
  </si>
  <si>
    <t xml:space="preserve">BP tramo 2 (500-2000€)</t>
  </si>
  <si>
    <t xml:space="preserve">Tramo medio</t>
  </si>
  <si>
    <t xml:space="preserve">BP tramo 3 (&gt;2000€)</t>
  </si>
  <si>
    <t xml:space="preserve">Lotes grandes</t>
  </si>
  <si>
    <t xml:space="preserve">BP efectiva blended sobre AOV mix</t>
  </si>
  <si>
    <t xml:space="preserve">Calculada con mix</t>
  </si>
  <si>
    <t xml:space="preserve">--- PALANCA 2: Suscripcion Pro ---</t>
  </si>
  <si>
    <t xml:space="preserve">Pro tier</t>
  </si>
  <si>
    <t xml:space="preserve">€/mes</t>
  </si>
  <si>
    <t xml:space="preserve">Vendedor activo</t>
  </si>
  <si>
    <t xml:space="preserve">Power Seller tier</t>
  </si>
  <si>
    <t xml:space="preserve">Destacados, SLA premium</t>
  </si>
  <si>
    <t xml:space="preserve">Adopcion Pro (sobre activos)</t>
  </si>
  <si>
    <t xml:space="preserve">Realista ano 1</t>
  </si>
  <si>
    <t xml:space="preserve">Adopcion Power (sobre activos)</t>
  </si>
  <si>
    <t xml:space="preserve">Power users</t>
  </si>
  <si>
    <t xml:space="preserve">ARPU suscripcion blended €/ano</t>
  </si>
  <si>
    <t xml:space="preserve">€/año/cuenta</t>
  </si>
  <si>
    <t xml:space="preserve">Calculado</t>
  </si>
  <si>
    <t xml:space="preserve">--- PALANCA 3: Fee de listado ---</t>
  </si>
  <si>
    <t xml:space="preserve">Fee por listado</t>
  </si>
  <si>
    <t xml:space="preserve">€</t>
  </si>
  <si>
    <t xml:space="preserve">vs 50$ de B-Stock</t>
  </si>
  <si>
    <t xml:space="preserve">Waiver threshold lote &gt;=</t>
  </si>
  <si>
    <t xml:space="preserve">Si lote &gt;=300, gratis</t>
  </si>
  <si>
    <t xml:space="preserve">% listados con fee aplicada</t>
  </si>
  <si>
    <t xml:space="preserve">60% lotes grandes -&gt; no pagan</t>
  </si>
  <si>
    <t xml:space="preserve">Listados / cuenta / ano</t>
  </si>
  <si>
    <t xml:space="preserve">Nº</t>
  </si>
  <si>
    <t xml:space="preserve">Mismo que frecuencia</t>
  </si>
  <si>
    <t xml:space="preserve">--- PALANCA 4: Marketplaces verticales ---</t>
  </si>
  <si>
    <t xml:space="preserve">Take rate vertical Moda</t>
  </si>
  <si>
    <t xml:space="preserve">Premium vs 8%</t>
  </si>
  <si>
    <t xml:space="preserve">Take rate vertical Electronica</t>
  </si>
  <si>
    <t xml:space="preserve">% GMV en verticales premium</t>
  </si>
  <si>
    <t xml:space="preserve">F3 onwards</t>
  </si>
  <si>
    <t xml:space="preserve">--- PALANCA 5: Clasificacion calidad ---</t>
  </si>
  <si>
    <t xml:space="preserve">Uplift AOV por verificacion</t>
  </si>
  <si>
    <t xml:space="preserve">+15%</t>
  </si>
  <si>
    <t xml:space="preserve">% lotes verificados</t>
  </si>
  <si>
    <t xml:space="preserve">F2 onwards</t>
  </si>
  <si>
    <t xml:space="preserve">Coste verificacion / lote</t>
  </si>
  <si>
    <t xml:space="preserve">Coste interno</t>
  </si>
  <si>
    <t xml:space="preserve">--- PALANCA 6: Anti-bypass ---</t>
  </si>
  <si>
    <t xml:space="preserve">Reduccion churn (pp)</t>
  </si>
  <si>
    <t xml:space="preserve">pp</t>
  </si>
  <si>
    <t xml:space="preserve">40 -&gt; 28% churn</t>
  </si>
  <si>
    <t xml:space="preserve">--- PALANCA 7: Logistica profit center ---</t>
  </si>
  <si>
    <t xml:space="preserve">Margen sobre flete repercutido</t>
  </si>
  <si>
    <t xml:space="preserve">vs cero</t>
  </si>
  <si>
    <t xml:space="preserve">Cargo preparacion pallet</t>
  </si>
  <si>
    <t xml:space="preserve">Por envio pallet</t>
  </si>
  <si>
    <t xml:space="preserve">Cargo entrega comercial</t>
  </si>
  <si>
    <t xml:space="preserve">Por envio</t>
  </si>
  <si>
    <t xml:space="preserve">% transacciones con logistica integrada</t>
  </si>
  <si>
    <t xml:space="preserve">RESTOCK · COMPARATIVA MODELO v2 (BASE) vs v3 (B-STOCK PLAYBOOK)</t>
  </si>
  <si>
    <t xml:space="preserve">Lectura: cómo cambian las métricas cuando se activan las 7 palancas B-Stock</t>
  </si>
  <si>
    <t xml:space="preserve">MÉTRICAS CLAVE · IMPACTO DEL B-STOCK PLAYBOOK</t>
  </si>
  <si>
    <t xml:space="preserve">Métrica</t>
  </si>
  <si>
    <t xml:space="preserve">v2 (Modelo Base)</t>
  </si>
  <si>
    <t xml:space="preserve">v3 (B-Stock Playbook)</t>
  </si>
  <si>
    <t xml:space="preserve">Δ Absoluta</t>
  </si>
  <si>
    <t xml:space="preserve">Δ %</t>
  </si>
  <si>
    <t xml:space="preserve">AOV (€/lote)</t>
  </si>
  <si>
    <t xml:space="preserve">Verificación + segmentación verticales suben AOV efectivo</t>
  </si>
  <si>
    <t xml:space="preserve">Take rate efectivo blended (sobre GMV)</t>
  </si>
  <si>
    <t xml:space="preserve">BP escalonada + verticales + logística</t>
  </si>
  <si>
    <t xml:space="preserve">ARPA total (€/cuenta/año)</t>
  </si>
  <si>
    <t xml:space="preserve">Comisiones + Pro suscripción + listado fees + logística</t>
  </si>
  <si>
    <t xml:space="preserve">Gross Margin real</t>
  </si>
  <si>
    <t xml:space="preserve">Baja % por verificación; sube absoluto</t>
  </si>
  <si>
    <t xml:space="preserve">Gross Profit / cuenta / año (€)</t>
  </si>
  <si>
    <t xml:space="preserve">GM x ARPA absoluto</t>
  </si>
  <si>
    <t xml:space="preserve">Gross logo churn anual</t>
  </si>
  <si>
    <t xml:space="preserve">Anti-bypass + Premium lock-in</t>
  </si>
  <si>
    <t xml:space="preserve">LTV ajustado (€)</t>
  </si>
  <si>
    <t xml:space="preserve">GP / churn neto</t>
  </si>
  <si>
    <t xml:space="preserve">CAC blended (€)</t>
  </si>
  <si>
    <t xml:space="preserve">Sin cambios — mismo mix de adquisición</t>
  </si>
  <si>
    <t xml:space="preserve">Ratio LTV : CAC</t>
  </si>
  <si>
    <t xml:space="preserve">De 'sano' a 'excelente'</t>
  </si>
  <si>
    <t xml:space="preserve">Payback period (meses)</t>
  </si>
  <si>
    <t xml:space="preserve">Recuperación CAC mucho más rápida</t>
  </si>
  <si>
    <t xml:space="preserve">Cuentas necesarias para $10M ARR</t>
  </si>
  <si>
    <t xml:space="preserve">Mercado abordable extendiendo a Portugal+Italia</t>
  </si>
  <si>
    <t xml:space="preserve">GMV necesario para $10M ARR (€)</t>
  </si>
  <si>
    <t xml:space="preserve">Sube take rate -&gt; baja GMV requerido</t>
  </si>
  <si>
    <t xml:space="preserve">Año cruce a EBITDA positivo</t>
  </si>
  <si>
    <t xml:space="preserve">Premium desde dia 1 -&gt; ramp más rápido</t>
  </si>
  <si>
    <t xml:space="preserve">VEREDICTO B-STOCK PLAYBOOK</t>
  </si>
  <si>
    <t xml:space="preserve">• ARPA de 196€ -&gt; 476€/año (+143%). El modelo deja de ser 'sub-monetizado' y entra en zona venture-grade.</t>
  </si>
  <si>
    <t xml:space="preserve">• Take rate efectivo del 12% -&gt; 15.8%. No es subiendo comisiones — es capturando valor en capas (suscripción + fees + logística).</t>
  </si>
  <si>
    <t xml:space="preserve">• Cuentas necesarias para $10M ARR caen de 51k -&gt; 21k. Capturable extendiendo a Portugal e Italia (mercado realista).</t>
  </si>
  <si>
    <t xml:space="preserve">• LTV:CAC pasa de 5.1x (sano) a 15x (excelente). Esto justifica invertir más agresivo en growth/CAC pagado.</t>
  </si>
  <si>
    <t xml:space="preserve">• EBITDA positivo en M13 (vs M17). Burn total reducido en ~30%. Mejor ratio para Series A.</t>
  </si>
  <si>
    <t xml:space="preserve">• Riesgo principal: ejecutar TODAS las palancas. Activar 4-5 da el 70% del impacto. Las 3 prioritarias: Premium dia 1 + Anti-bypass + Fee listado.</t>
  </si>
  <si>
    <t xml:space="preserve">RESTOCK · PATH TO $10M ARR · v3 CON B-STOCK PLAYBOOK</t>
  </si>
  <si>
    <t xml:space="preserve">DESCOMPOSICIÓN MATEMÁTICA · CUENTAS NECESARIAS POR ESCENARIO</t>
  </si>
  <si>
    <t xml:space="preserve">Escenario</t>
  </si>
  <si>
    <t xml:space="preserve">ARPA (€)</t>
  </si>
  <si>
    <t xml:space="preserve">Cuentas requeridas</t>
  </si>
  <si>
    <t xml:space="preserve">GMV anual (€)</t>
  </si>
  <si>
    <t xml:space="preserve">% mercado España (~120k eCom)</t>
  </si>
  <si>
    <t xml:space="preserve">% mercado Iberia+Italia (~400k)</t>
  </si>
  <si>
    <t xml:space="preserve">Veredicto</t>
  </si>
  <si>
    <t xml:space="preserve">v2 plan original</t>
  </si>
  <si>
    <t xml:space="preserve">ROJO — Imposible solo en España</t>
  </si>
  <si>
    <t xml:space="preserve">v3 con Palanca 2 (Pro suscripción)</t>
  </si>
  <si>
    <t xml:space="preserve">ÁMBAR — España estirado</t>
  </si>
  <si>
    <t xml:space="preserve">v3 con Palancas 1+2+3</t>
  </si>
  <si>
    <t xml:space="preserve">ÁMBAR/VERDE</t>
  </si>
  <si>
    <t xml:space="preserve">v3 con Palancas 1+2+3+5+6</t>
  </si>
  <si>
    <t xml:space="preserve">VERDE — Iberia+Italia abordable</t>
  </si>
  <si>
    <t xml:space="preserve">v3 todas las palancas activas</t>
  </si>
  <si>
    <t xml:space="preserve">VERDE — Path realista</t>
  </si>
  <si>
    <t xml:space="preserve">INSIGHT MATEMÁTICO</t>
  </si>
  <si>
    <t xml:space="preserve">• Sin Playbook B-Stock: necesitas 47.000 cuentas (39% del mercado eCom español). Inviable.</t>
  </si>
  <si>
    <t xml:space="preserve">• Con Palancas 1+2+3 (las 3 mas baratas de implementar): necesitas 25.000 cuentas. Iberia abordable.</t>
  </si>
  <si>
    <t xml:space="preserve">• Con todas las 7 palancas: 19.300 cuentas (4.8% del mercado Iberia+Italia). VENTURE-GRADE.</t>
  </si>
  <si>
    <t xml:space="preserve">• La diferencia entre 'lifestyle business' y 'Series A candidate' son las 3 palancas core: Premium dia 1, Anti-bypass, Fee listado.</t>
  </si>
  <si>
    <t xml:space="preserve">RESTOCK · PLAN DE IMPLEMENTACION B-STOCK PLAYBOOK · 24 MESES</t>
  </si>
  <si>
    <t xml:space="preserve">ROADMAP DE ACTIVACIÓN POR FASE</t>
  </si>
  <si>
    <t xml:space="preserve">Mes inicio</t>
  </si>
  <si>
    <t xml:space="preserve">Mes maduración</t>
  </si>
  <si>
    <t xml:space="preserve">Coste implementación</t>
  </si>
  <si>
    <t xml:space="preserve">Owner</t>
  </si>
  <si>
    <t xml:space="preserve">KPI éxito</t>
  </si>
  <si>
    <t xml:space="preserve">Riesgo si no se ejecuta</t>
  </si>
  <si>
    <t xml:space="preserve">P6 · Anti-bypass clausula T&amp;C</t>
  </si>
  <si>
    <t xml:space="preserve">M0</t>
  </si>
  <si>
    <t xml:space="preserve">Coste abogado SL ya presupuestado</t>
  </si>
  <si>
    <t xml:space="preserve">Founder + abogado</t>
  </si>
  <si>
    <t xml:space="preserve">T&amp;C publicados con clausula 12m al 15%</t>
  </si>
  <si>
    <t xml:space="preserve">Churn estructural 40% no baja</t>
  </si>
  <si>
    <t xml:space="preserve">P5 · Clasificacion calidad 4 grados</t>
  </si>
  <si>
    <t xml:space="preserve">M1</t>
  </si>
  <si>
    <t xml:space="preserve">M3</t>
  </si>
  <si>
    <t xml:space="preserve">0€ — solo definicion + UI Lovable</t>
  </si>
  <si>
    <t xml:space="preserve">Founder</t>
  </si>
  <si>
    <t xml:space="preserve">100% lotes con grado asignado</t>
  </si>
  <si>
    <t xml:space="preserve">AOV no sube — modelo se queda en 200€</t>
  </si>
  <si>
    <t xml:space="preserve">P1 · Buyer's Premium escalonada</t>
  </si>
  <si>
    <t xml:space="preserve">M2</t>
  </si>
  <si>
    <t xml:space="preserve">Implementacion en checkout Lovable</t>
  </si>
  <si>
    <t xml:space="preserve">BP efectiva blended &gt;=5%</t>
  </si>
  <si>
    <t xml:space="preserve">Take rate efectivo se queda en 12%</t>
  </si>
  <si>
    <t xml:space="preserve">P2 · Suscripcion Pro €49 desde dia 1</t>
  </si>
  <si>
    <t xml:space="preserve">M5</t>
  </si>
  <si>
    <t xml:space="preserve">M9</t>
  </si>
  <si>
    <t xml:space="preserve">Stripe Billing setup + landing tier</t>
  </si>
  <si>
    <t xml:space="preserve">Founder + diseñador freelance</t>
  </si>
  <si>
    <t xml:space="preserve">Adopcion Pro &gt;=15% sobre activos M9</t>
  </si>
  <si>
    <t xml:space="preserve">ARPA blended se queda en 250€</t>
  </si>
  <si>
    <t xml:space="preserve">P3 · Fee de listado 15€ con waiver</t>
  </si>
  <si>
    <t xml:space="preserve">M7</t>
  </si>
  <si>
    <t xml:space="preserve">M10</t>
  </si>
  <si>
    <t xml:space="preserve">Logica en backend Supabase</t>
  </si>
  <si>
    <t xml:space="preserve">% lotes con fee aplicada &gt;=35%</t>
  </si>
  <si>
    <t xml:space="preserve">AOV se queda &lt;300€</t>
  </si>
  <si>
    <t xml:space="preserve">P5b · Verificacion fisica selectiva</t>
  </si>
  <si>
    <t xml:space="preserve">M14</t>
  </si>
  <si>
    <t xml:space="preserve">Acuerdo con almacen / partner Cubyn</t>
  </si>
  <si>
    <t xml:space="preserve">Founder + ops contractor</t>
  </si>
  <si>
    <t xml:space="preserve">% lotes verificados &gt;=30%</t>
  </si>
  <si>
    <t xml:space="preserve">Lotes Salvage destruyen confianza compradores</t>
  </si>
  <si>
    <t xml:space="preserve">P4 · Marketplaces verticales privados</t>
  </si>
  <si>
    <t xml:space="preserve">M13</t>
  </si>
  <si>
    <t xml:space="preserve">M18</t>
  </si>
  <si>
    <t xml:space="preserve">UI/UX rediseño + branding por vertical</t>
  </si>
  <si>
    <t xml:space="preserve">CTO contractor + diseño</t>
  </si>
  <si>
    <t xml:space="preserve">GMV en verticales premium &gt;=25%</t>
  </si>
  <si>
    <t xml:space="preserve">Sin diferenciacion vs Wallapop PRO</t>
  </si>
  <si>
    <t xml:space="preserve">P7 · Logistica como profit center</t>
  </si>
  <si>
    <t xml:space="preserve">M20</t>
  </si>
  <si>
    <t xml:space="preserve">Integracion Cubyn + Byrd + pricing engine</t>
  </si>
  <si>
    <t xml:space="preserve">Ops lead M14+</t>
  </si>
  <si>
    <t xml:space="preserve">% transacciones logistica integrada &gt;=30%</t>
  </si>
  <si>
    <t xml:space="preserve">Take rate se queda en 14%</t>
  </si>
  <si>
    <t xml:space="preserve">RESUMEN EJECUTIVO · 3 PALANCAS PRIORITARIAS</t>
  </si>
  <si>
    <t xml:space="preserve">• PRIORIDAD 1 (M0): Anti-bypass en T&amp;C. Coste 0€ adicional, impacto enorme en LTV. Sin esto, todo lo demás se devalua.</t>
  </si>
  <si>
    <t xml:space="preserve">• PRIORIDAD 2 (M5-M9): Suscripcion Pro €49 desde dia 1. Es el cambio numero 1 que el CFO advisor ya pidio. Sin esto, ARPA no sube.</t>
  </si>
  <si>
    <t xml:space="preserve">• PRIORIDAD 3 (M2-M3): Buyer's Premium escalonada + Clasificacion calidad. Ambas se montan en el MVP de Lovable sin coste extra.</t>
  </si>
  <si>
    <t xml:space="preserve">• Las 4 palancas restantes (verticales, fee listado, logistica, verificacion) son F2/F3 — implementables tras validar las 3 core.</t>
  </si>
  <si>
    <t xml:space="preserve">RESTOCK · ARPA MULTICAPA v3 (CON 7 PALANCAS B-STOCK)</t>
  </si>
  <si>
    <t xml:space="preserve">Construccion bottom-up del ARPA con todas las palancas activadas. Comparable contra ARPA v2 base de 196€.</t>
  </si>
  <si>
    <t xml:space="preserve">ARPA POR CAPA · ESCENARIO BASE (palancas a su nivel target)</t>
  </si>
  <si>
    <t xml:space="preserve">Capa</t>
  </si>
  <si>
    <t xml:space="preserve">Componente</t>
  </si>
  <si>
    <t xml:space="preserve">Driver</t>
  </si>
  <si>
    <t xml:space="preserve">Calculo</t>
  </si>
  <si>
    <t xml:space="preserve">ARPA aporte (€/ano)</t>
  </si>
  <si>
    <t xml:space="preserve">% del total</t>
  </si>
  <si>
    <t xml:space="preserve">CAPA 1: Comision transaccional</t>
  </si>
  <si>
    <t xml:space="preserve">GMV vendedor x take rate</t>
  </si>
  <si>
    <t xml:space="preserve">AOV 250 x 6 trx x 8%</t>
  </si>
  <si>
    <t xml:space="preserve">250*6*0.08</t>
  </si>
  <si>
    <t xml:space="preserve">CAPA 1</t>
  </si>
  <si>
    <t xml:space="preserve">BP blended 5% x GMV</t>
  </si>
  <si>
    <t xml:space="preserve">250*6*0.05</t>
  </si>
  <si>
    <t xml:space="preserve">CAPA 2: SaaS suscripcion</t>
  </si>
  <si>
    <t xml:space="preserve">Pro/Power blended</t>
  </si>
  <si>
    <t xml:space="preserve">20%x49 + 5%x99 (mensual x12)</t>
  </si>
  <si>
    <t xml:space="preserve">(0.20*49*12)+(0.05*99*12)</t>
  </si>
  <si>
    <t xml:space="preserve">CAPA 3: Fees por listado</t>
  </si>
  <si>
    <t xml:space="preserve">Listado 15€ x 6 x 40%</t>
  </si>
  <si>
    <t xml:space="preserve">Fee con waiver lotes &gt;300</t>
  </si>
  <si>
    <t xml:space="preserve">15*6*0.40</t>
  </si>
  <si>
    <t xml:space="preserve">CAPA 4: Marketplaces verticales</t>
  </si>
  <si>
    <t xml:space="preserve">Premium 2pp sobre 30% GMV</t>
  </si>
  <si>
    <t xml:space="preserve">(0.10-0.08) x 250x6 x 0.30</t>
  </si>
  <si>
    <t xml:space="preserve">(0.10-0.08)*250*6*0.30</t>
  </si>
  <si>
    <t xml:space="preserve">CAPA 5: Verificacion calidad</t>
  </si>
  <si>
    <t xml:space="preserve">Uplift AOV 15% x 40% lotes</t>
  </si>
  <si>
    <t xml:space="preserve">AOV +15% sobre 40% (parte que retornamos)</t>
  </si>
  <si>
    <t xml:space="preserve">250*6*0.15*0.40*0.08</t>
  </si>
  <si>
    <t xml:space="preserve">CAPA 6: Logistica profit center</t>
  </si>
  <si>
    <t xml:space="preserve">Margen flete + cargos</t>
  </si>
  <si>
    <t xml:space="preserve">(25+15) x 6 x 0.35 + flete margen</t>
  </si>
  <si>
    <t xml:space="preserve">((25+15)*6*0.35)+(80*6*0.35*0.18)</t>
  </si>
  <si>
    <t xml:space="preserve">CAPA 7: Datos y reports</t>
  </si>
  <si>
    <t xml:space="preserve">Reports vendidos a marcas</t>
  </si>
  <si>
    <t xml:space="preserve">Adopcion futura, year 2+</t>
  </si>
  <si>
    <t xml:space="preserve">0</t>
  </si>
  <si>
    <t xml:space="preserve">(menos) Coste verificacion</t>
  </si>
  <si>
    <t xml:space="preserve">4€ x 40% x 6 trx</t>
  </si>
  <si>
    <t xml:space="preserve">ARPA TOTAL v3</t>
  </si>
  <si>
    <t xml:space="preserve">100%</t>
  </si>
  <si>
    <t xml:space="preserve">COMPARATIVA · ARPA v2 BASE vs ARPA v3 PLAYBOOK</t>
  </si>
  <si>
    <t xml:space="preserve">Concepto</t>
  </si>
  <si>
    <t xml:space="preserve">v2 Base</t>
  </si>
  <si>
    <t xml:space="preserve">v3 Playbook</t>
  </si>
  <si>
    <t xml:space="preserve">Delta abs.</t>
  </si>
  <si>
    <t xml:space="preserve">Delta %</t>
  </si>
  <si>
    <t xml:space="preserve">ARPA blended (€/ano)</t>
  </si>
  <si>
    <t xml:space="preserve">Take rate efectivo (sobre GMV)</t>
  </si>
  <si>
    <t xml:space="preserve">Churn anual gross</t>
  </si>
  <si>
    <t xml:space="preserve">LTV : CAC ratio</t>
  </si>
  <si>
    <t xml:space="preserve">Cuentas necesarias para 10M$ ARR</t>
  </si>
  <si>
    <t xml:space="preserve">VEREDICTO v3</t>
  </si>
  <si>
    <t xml:space="preserve">Con las 7 palancas activadas, ARPA pasa de 196 a ~440€/cuenta/ano (+125%). El take rate efectivo sube de 12% a 22%. Cuentas necesarias para 10M$ ARR cae de 51.000 a ~21.000 -&gt; 10% de los eCommerce espanoles + Portugal/Italia, alcanzable. El LTV se duplica por la combinacion de mas ARPA + menor churn. El modelo pasa de zombie startup a candidato Series A genuino.</t>
  </si>
  <si>
    <t xml:space="preserve">RESTOCK · PATH TO $10M ARR · IMPACTO PALANCAS B-STOCK</t>
  </si>
  <si>
    <t xml:space="preserve">ESCENARIO 1 · v2 BASE (sin palancas)</t>
  </si>
  <si>
    <t xml:space="preserve">ARPA blended</t>
  </si>
  <si>
    <t xml:space="preserve">Cuentas necesarias 10M$ ARR (0.92 EUR/USD)</t>
  </si>
  <si>
    <t xml:space="preserve">Mercado eCommerce espanol</t>
  </si>
  <si>
    <t xml:space="preserve">% mercado a capturar</t>
  </si>
  <si>
    <t xml:space="preserve">INVIABLE: requiere capturar 39%+ de TODO el eCommerce espanol</t>
  </si>
  <si>
    <t xml:space="preserve">ESCENARIO 2 · v3 PLAYBOOK COMPLETO (7 palancas activadas)</t>
  </si>
  <si>
    <t xml:space="preserve">ARPA blended (link a ARPA Multicapa)</t>
  </si>
  <si>
    <t xml:space="preserve">Cuentas necesarias 10M$ ARR</t>
  </si>
  <si>
    <t xml:space="preserve">Mercado addressable Espana + PT + IT</t>
  </si>
  <si>
    <t xml:space="preserve">VIABLE: 5-7% de mercado iberico+italiano alcanzable en 5-7 anos</t>
  </si>
  <si>
    <t xml:space="preserve">IMPACTO MARGINAL DE CADA PALANCA EN CUENTAS NECESARIAS</t>
  </si>
  <si>
    <t xml:space="preserve">Palanca acumulada</t>
  </si>
  <si>
    <t xml:space="preserve">ARPA resultante (€)</t>
  </si>
  <si>
    <t xml:space="preserve">Cuentas ahorradas vs base</t>
  </si>
  <si>
    <t xml:space="preserve">Estado</t>
  </si>
  <si>
    <t xml:space="preserve">v2 base</t>
  </si>
  <si>
    <t xml:space="preserve">INVIABLE</t>
  </si>
  <si>
    <t xml:space="preserve">+ Buyer Premium escalonada</t>
  </si>
  <si>
    <t xml:space="preserve">Marginal</t>
  </si>
  <si>
    <t xml:space="preserve">+ Suscripcion Pro 49€</t>
  </si>
  <si>
    <t xml:space="preserve">Mejora notable</t>
  </si>
  <si>
    <t xml:space="preserve">+ Fee de listado</t>
  </si>
  <si>
    <t xml:space="preserve">+ Marketplaces verticales</t>
  </si>
  <si>
    <t xml:space="preserve">Mejora moderada</t>
  </si>
  <si>
    <t xml:space="preserve">+ Clasificacion calidad</t>
  </si>
  <si>
    <t xml:space="preserve">+ Anti-bypass (reduce churn)</t>
  </si>
  <si>
    <t xml:space="preserve">+ Logistica profit center</t>
  </si>
  <si>
    <t xml:space="preserve">VIABLE</t>
  </si>
  <si>
    <t xml:space="preserve">RESTOCK · UNIT ECONOMICS · DASHBOARD EJECUTIVO</t>
  </si>
  <si>
    <t xml:space="preserve">Marketplace B2B de stock sobrante · Modelo financiero Q2 2026</t>
  </si>
  <si>
    <t xml:space="preserve">MÉTRICAS CLAVE — ESCENARIO BASE</t>
  </si>
  <si>
    <t xml:space="preserve">ARPA (Avg Revenue per Account, anual)</t>
  </si>
  <si>
    <t xml:space="preserve">Contribution Margin / cliente / año</t>
  </si>
  <si>
    <t xml:space="preserve">Churn anual (gross logo)</t>
  </si>
  <si>
    <t xml:space="preserve">LTV (Lifetime Value)</t>
  </si>
  <si>
    <t xml:space="preserve">CAC blended</t>
  </si>
  <si>
    <t xml:space="preserve">Break-even clientes activos</t>
  </si>
  <si>
    <t xml:space="preserve">Burn hasta break-even (€)</t>
  </si>
  <si>
    <t xml:space="preserve">VEREDICTO BRUTAL</t>
  </si>
  <si>
    <t xml:space="preserve">Take rate efectivo ~12% sobre GMV. ARPA ≈ €150 / año / cuenta activa. Para alcanzar $10M ARR se necesitan ~65.000 cuentas pagadoras o un GMV anual de €83M, vs. plan a 3 años de €1M GMV (€120K ARR). El modelo NO escala a $10M ARR sin: (1) subir take rate efectivo a 18-22% via Premium SaaS + logística, (2) elevar AOV con foco en lotes &gt;€500, (3) reducir churn anual a &lt;30%.</t>
  </si>
  <si>
    <t xml:space="preserve">SEMÁFORO DE SALUD</t>
  </si>
  <si>
    <t xml:space="preserve">Tu valor</t>
  </si>
  <si>
    <t xml:space="preserve">Benchmark sano</t>
  </si>
  <si>
    <t xml:space="preserve">Status</t>
  </si>
  <si>
    <t xml:space="preserve">Acción</t>
  </si>
  <si>
    <t xml:space="preserve">LTV : CAC</t>
  </si>
  <si>
    <t xml:space="preserve">&gt; 3.0x</t>
  </si>
  <si>
    <t xml:space="preserve">Si &lt;3: subir precio o bajar CAC</t>
  </si>
  <si>
    <t xml:space="preserve">Payback</t>
  </si>
  <si>
    <t xml:space="preserve">&lt; 12 meses</t>
  </si>
  <si>
    <t xml:space="preserve">Si &gt;18: el cash flow muere</t>
  </si>
  <si>
    <t xml:space="preserve">Gross Margin</t>
  </si>
  <si>
    <t xml:space="preserve">&gt; 70% marketplace / &gt;75% SaaS</t>
  </si>
  <si>
    <t xml:space="preserve">Si &lt;50: el modelo no es SaaS</t>
  </si>
  <si>
    <t xml:space="preserve">Churn anual</t>
  </si>
  <si>
    <t xml:space="preserve">&lt; 30%</t>
  </si>
  <si>
    <t xml:space="preserve">Si &gt;50: producto no engancha</t>
  </si>
  <si>
    <t xml:space="preserve">v2 · MÉTRICAS DEL MODELO MENSUAL 24M (PRE-SEED €300K)</t>
  </si>
  <si>
    <t xml:space="preserve">Cuentas activas pagadoras M24</t>
  </si>
  <si>
    <t xml:space="preserve">MRR M24 (€)</t>
  </si>
  <si>
    <t xml:space="preserve">ARR run-rate M24 (€)</t>
  </si>
  <si>
    <t xml:space="preserve">GMV M24 mensual (€)</t>
  </si>
  <si>
    <t xml:space="preserve">Cash al final de M24 (€)</t>
  </si>
  <si>
    <t xml:space="preserve">Burn total quemado en 24m (€)</t>
  </si>
  <si>
    <t xml:space="preserve">Burn multiple (24m)</t>
  </si>
  <si>
    <t xml:space="preserve">Magic Number 24m</t>
  </si>
  <si>
    <t xml:space="preserve">Series A trigger ready?</t>
  </si>
  <si>
    <t xml:space="preserve">v3 · ACTUALIZACION CON 7 PALANCAS B-STOCK PLAYBOOK</t>
  </si>
  <si>
    <t xml:space="preserve">ARPA v3 (con 7 palancas)</t>
  </si>
  <si>
    <t xml:space="preserve">Take rate efectivo v3</t>
  </si>
  <si>
    <t xml:space="preserve">Reduccion cuentas vs v2 (%)</t>
  </si>
  <si>
    <t xml:space="preserve">Veredicto v3</t>
  </si>
  <si>
    <t xml:space="preserve">Modelo escalable a 10M$ ARR con expansion EU</t>
  </si>
  <si>
    <t xml:space="preserve">v3 · B-STOCK PLAYBOOK · MÉTRICAS RECALCULADAS</t>
  </si>
  <si>
    <t xml:space="preserve">ARPA total v3 (comisiones + Pro + fees + logística)</t>
  </si>
  <si>
    <t xml:space="preserve">Take rate efectivo blended v3</t>
  </si>
  <si>
    <t xml:space="preserve">LTV ajustado v3</t>
  </si>
  <si>
    <t xml:space="preserve">Ratio LTV : CAC v3</t>
  </si>
  <si>
    <t xml:space="preserve">Payback period v3 (meses)</t>
  </si>
  <si>
    <t xml:space="preserve">Cuentas requeridas para $10M ARR v3</t>
  </si>
  <si>
    <t xml:space="preserve">Cruce EBITDA positivo v3 (mes)</t>
  </si>
  <si>
    <t xml:space="preserve">Burn total estimado v3 (€)</t>
  </si>
  <si>
    <t xml:space="preserve">Inputs detallados en hoja 'B-Stock Playbook'. Comparativa completa en hoja 'Comparativa v2 vs v3'.</t>
  </si>
  <si>
    <t xml:space="preserve">DRIVERS POR FASE · 24 MESES OPERATIVOS</t>
  </si>
  <si>
    <t xml:space="preserve">Cada fase tiene su propio set de assumptions: customers acquired/mes, CAC, ARPA mensual, retención, NRR. El modelo de cohortes los referencia.</t>
  </si>
  <si>
    <t xml:space="preserve">MAPEO DE FASES · MES A MES</t>
  </si>
  <si>
    <t xml:space="preserve">F0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</si>
  <si>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</si>
  <si>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</si>
  <si>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</si>
  <si>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</si>
  <si>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</si>
  <si>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</si>
  <si>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Meses</t>
  </si>
  <si>
    <t xml:space="preserve">1-2</t>
  </si>
  <si>
    <t xml:space="preserve">3-4</t>
  </si>
  <si>
    <t xml:space="preserve">5-6</t>
  </si>
  <si>
    <t xml:space="preserve">7-9</t>
  </si>
  <si>
    <t xml:space="preserve">10-12</t>
  </si>
  <si>
    <t xml:space="preserve">13-18</t>
  </si>
  <si>
    <t xml:space="preserve">19-24</t>
  </si>
  <si>
    <t xml:space="preserve">Duración (meses)</t>
  </si>
  <si>
    <t xml:space="preserve">ADQUISICIÓN</t>
  </si>
  <si>
    <t xml:space="preserve">Cuentas pagadoras adquiridas / mes</t>
  </si>
  <si>
    <t xml:space="preserve">F0 manual concierge; F1 outreach + Telegram; F2 lanzamiento PR; F3-F4 mix paid; F5-F6 paid scale.</t>
  </si>
  <si>
    <t xml:space="preserve">F0-F1 founder-led casi gratis; F2-F3 mix orgánico+pagado; F4+ peso pagado sube; F6 EU CAC mayor por localización.</t>
  </si>
  <si>
    <t xml:space="preserve">Customer pool acumulado al final de fase</t>
  </si>
  <si>
    <t xml:space="preserve">UNIT ECONOMICS POR FASE</t>
  </si>
  <si>
    <t xml:space="preserve">GMV / cuenta activa / mes (€)</t>
  </si>
  <si>
    <t xml:space="preserve">F0 €0 (concierge gratis); F1 inicia transaccional; F2-F4 ramp-up de actividad; F5-F6 power sellers maduros.</t>
  </si>
  <si>
    <t xml:space="preserve">Take rate efectivo</t>
  </si>
  <si>
    <t xml:space="preserve">F0 sin cobro; F1 prueba 10%; F2+ 12% standard; F5+ Premium + logistics suben take rate efectivo.</t>
  </si>
  <si>
    <t xml:space="preserve">ARPA mensual comisión (€)</t>
  </si>
  <si>
    <t xml:space="preserve">ARPA Premium / mes (€)</t>
  </si>
  <si>
    <t xml:space="preserve">Adopción Premium escala con maduración. F2 lanza tier; F5+ con Power Seller €99.</t>
  </si>
  <si>
    <t xml:space="preserve">ARPA total / mes (€)</t>
  </si>
  <si>
    <t xml:space="preserve">RETENCIÓN MENSUAL</t>
  </si>
  <si>
    <t xml:space="preserve">Monthly gross retention</t>
  </si>
  <si>
    <t xml:space="preserve">% de la cohorte que sigue activo el mes siguiente. 92% mensual = 38% churn anual; 97% = 31% anual.</t>
  </si>
  <si>
    <t xml:space="preserve">Implied annual churn</t>
  </si>
  <si>
    <t xml:space="preserve">Monthly NRR (revenue expansion)</t>
  </si>
  <si>
    <t xml:space="preserve">Crecimiento mensual de revenue por cliente existente. 1.5% mensual ≈ 20% anual (NRR 120%).</t>
  </si>
  <si>
    <t xml:space="preserve">COGS / cuenta activa / mes (€)</t>
  </si>
  <si>
    <t xml:space="preserve">Stripe (% sobre GMV)</t>
  </si>
  <si>
    <t xml:space="preserve">COGS Stripe (€)</t>
  </si>
  <si>
    <t xml:space="preserve">Hosting+APIs+soporte+KYC / mes (€)</t>
  </si>
  <si>
    <t xml:space="preserve">Fijo allocado por cuenta (Supabase, Brevo, Onfido, soporte humano).</t>
  </si>
  <si>
    <t xml:space="preserve">Total COGS / mes (€)</t>
  </si>
  <si>
    <t xml:space="preserve">Contribution Margin / mes (€)</t>
  </si>
  <si>
    <t xml:space="preserve">Gross Margin %</t>
  </si>
  <si>
    <t xml:space="preserve">OPEX FIJO / mes (€)</t>
  </si>
  <si>
    <t xml:space="preserve">Salarios fully-loaded (founder + team)</t>
  </si>
  <si>
    <t xml:space="preserve">Founder solo (€3K) → +1 freelancer (€4.5-6K) → +growth/CS (€8-10K) post-Series A.</t>
  </si>
  <si>
    <t xml:space="preserve">Tooling, infra, dominios</t>
  </si>
  <si>
    <t xml:space="preserve">Marketing fijo (no-CAC)</t>
  </si>
  <si>
    <t xml:space="preserve">Legal, contabilidad, asesoría</t>
  </si>
  <si>
    <t xml:space="preserve">TOTAL OPEX fijo / mes (€)</t>
  </si>
  <si>
    <t xml:space="preserve">HITOS DE FIN DE FASE (TARGETS)</t>
  </si>
  <si>
    <t xml:space="preserve">Cuentas activas pagadoras (target)</t>
  </si>
  <si>
    <t xml:space="preserve">GMV mensual run-rate (target €)</t>
  </si>
  <si>
    <t xml:space="preserve">MRR (run-rate, €)</t>
  </si>
  <si>
    <t xml:space="preserve">ARR (run-rate anualizado, €)</t>
  </si>
  <si>
    <t xml:space="preserve">MODELO MENSUAL · 24 MESES OPERATIVOS</t>
  </si>
  <si>
    <t xml:space="preserve">Mes</t>
  </si>
  <si>
    <t xml:space="preserve">M4</t>
  </si>
  <si>
    <t xml:space="preserve">M6</t>
  </si>
  <si>
    <t xml:space="preserve">M8</t>
  </si>
  <si>
    <t xml:space="preserve">M11</t>
  </si>
  <si>
    <t xml:space="preserve">M12</t>
  </si>
  <si>
    <t xml:space="preserve">M15</t>
  </si>
  <si>
    <t xml:space="preserve">M16</t>
  </si>
  <si>
    <t xml:space="preserve">M17</t>
  </si>
  <si>
    <t xml:space="preserve">M19</t>
  </si>
  <si>
    <t xml:space="preserve">M21</t>
  </si>
  <si>
    <t xml:space="preserve">M22</t>
  </si>
  <si>
    <t xml:space="preserve">M23</t>
  </si>
  <si>
    <t xml:space="preserve">M24</t>
  </si>
  <si>
    <t xml:space="preserve">Adquisiciones (cohorte)</t>
  </si>
  <si>
    <t xml:space="preserve">CAC (€)</t>
  </si>
  <si>
    <t xml:space="preserve">Cuentas adquiridas acumuladas</t>
  </si>
  <si>
    <t xml:space="preserve">ARPA / cuenta activa / mes (€)</t>
  </si>
  <si>
    <t xml:space="preserve">Retención mensual gross</t>
  </si>
  <si>
    <t xml:space="preserve">COHORTE TRIANGLE · Cuentas ACTIVAS (filas=cohorte adquisición; columnas=mes activo)</t>
  </si>
  <si>
    <t xml:space="preserve">Cohorte</t>
  </si>
  <si>
    <t xml:space="preserve">Coh M1</t>
  </si>
  <si>
    <t xml:space="preserve">Coh M2</t>
  </si>
  <si>
    <t xml:space="preserve">Coh M3</t>
  </si>
  <si>
    <t xml:space="preserve">Coh M4</t>
  </si>
  <si>
    <t xml:space="preserve">Coh M5</t>
  </si>
  <si>
    <t xml:space="preserve">Coh M6</t>
  </si>
  <si>
    <t xml:space="preserve">Coh M7</t>
  </si>
  <si>
    <t xml:space="preserve">Coh M8</t>
  </si>
  <si>
    <t xml:space="preserve">Coh M9</t>
  </si>
  <si>
    <t xml:space="preserve">Coh M10</t>
  </si>
  <si>
    <t xml:space="preserve">Coh M11</t>
  </si>
  <si>
    <t xml:space="preserve">Coh M12</t>
  </si>
  <si>
    <t xml:space="preserve">Coh M13</t>
  </si>
  <si>
    <t xml:space="preserve">Coh M14</t>
  </si>
  <si>
    <t xml:space="preserve">Coh M15</t>
  </si>
  <si>
    <t xml:space="preserve">Coh M16</t>
  </si>
  <si>
    <t xml:space="preserve">Coh M17</t>
  </si>
  <si>
    <t xml:space="preserve">Coh M18</t>
  </si>
  <si>
    <t xml:space="preserve">Coh M19</t>
  </si>
  <si>
    <t xml:space="preserve">Coh M20</t>
  </si>
  <si>
    <t xml:space="preserve">Coh M21</t>
  </si>
  <si>
    <t xml:space="preserve">Coh M22</t>
  </si>
  <si>
    <t xml:space="preserve">Coh M23</t>
  </si>
  <si>
    <t xml:space="preserve">Coh M24</t>
  </si>
  <si>
    <t xml:space="preserve">Cuentas activas totales (sum cohortes)</t>
  </si>
  <si>
    <t xml:space="preserve">REVENUE Y UNIT ECONOMICS MENSUALES</t>
  </si>
  <si>
    <t xml:space="preserve">Revenue mensual (€)</t>
  </si>
  <si>
    <t xml:space="preserve">GMV mensual (€)</t>
  </si>
  <si>
    <t xml:space="preserve">COGS mensual (€)</t>
  </si>
  <si>
    <t xml:space="preserve">Gross profit (€)</t>
  </si>
  <si>
    <t xml:space="preserve">Gross margin %</t>
  </si>
  <si>
    <t xml:space="preserve">OPEX Y EBITDA</t>
  </si>
  <si>
    <t xml:space="preserve">OPEX fijo / mes (€)</t>
  </si>
  <si>
    <t xml:space="preserve">Inversión en CAC / mes (€)</t>
  </si>
  <si>
    <t xml:space="preserve">Total operating costs (OPEX + CAC + COGS)</t>
  </si>
  <si>
    <t xml:space="preserve">EBITDA mensual (€)</t>
  </si>
  <si>
    <t xml:space="preserve">EBITDA acumulado (€)</t>
  </si>
  <si>
    <t xml:space="preserve">CASH POSITION (RONDA PRE-SEED €300K)</t>
  </si>
  <si>
    <t xml:space="preserve">Capital pre-seed (€) — input fila</t>
  </si>
  <si>
    <t xml:space="preserve">Cash al inicio de mes (€)</t>
  </si>
  <si>
    <t xml:space="preserve">Cash al final de mes (€)</t>
  </si>
  <si>
    <t xml:space="preserve">Runway restante (meses al ritmo actual)</t>
  </si>
  <si>
    <t xml:space="preserve">KPIs GOLDMAN/MS</t>
  </si>
  <si>
    <t xml:space="preserve">MRR (€)</t>
  </si>
  <si>
    <t xml:space="preserve">ARR run-rate (€)</t>
  </si>
  <si>
    <t xml:space="preserve">New ARR added (€)</t>
  </si>
  <si>
    <t xml:space="preserve">Burn multiple (cash burn / new ARR)</t>
  </si>
  <si>
    <t xml:space="preserve">MARCADORES DE FIN DE FASE</t>
  </si>
  <si>
    <t xml:space="preserve">End of phase trigger</t>
  </si>
  <si>
    <t xml:space="preserve">USO DE FONDOS · RONDA PRE-SEED €300K</t>
  </si>
  <si>
    <t xml:space="preserve">Asignación por categoría y tramo. Cada tramo está condicionado a hitos verificables (gates).</t>
  </si>
  <si>
    <t xml:space="preserve">ASIGNACIÓN POR CATEGORÍA · 24 MESES</t>
  </si>
  <si>
    <t xml:space="preserve">Categoría</t>
  </si>
  <si>
    <t xml:space="preserve">Tramo 1
M1-M6</t>
  </si>
  <si>
    <t xml:space="preserve">Tramo 2
M7-M12</t>
  </si>
  <si>
    <t xml:space="preserve">Tramo 3
M13-M18</t>
  </si>
  <si>
    <t xml:space="preserve">Tramo 4
M19-M24</t>
  </si>
  <si>
    <t xml:space="preserve">TOTAL</t>
  </si>
  <si>
    <t xml:space="preserve">Salarios fully-loaded (founder + freelancers)</t>
  </si>
  <si>
    <t xml:space="preserve">Infraestructura tecnológica (Lovable, Supabase, Stripe)</t>
  </si>
  <si>
    <t xml:space="preserve">Marketing pagado / CAC (Meta, Google, partners)</t>
  </si>
  <si>
    <t xml:space="preserve">Legal, contabilidad, registro marca, asesoría</t>
  </si>
  <si>
    <t xml:space="preserve">Working capital (escrow, garantías, contingencias)</t>
  </si>
  <si>
    <t xml:space="preserve">Reserva estratégica / buffer (15%)</t>
  </si>
  <si>
    <t xml:space="preserve">Subtotal por tramo (€)</t>
  </si>
  <si>
    <t xml:space="preserve">% del round</t>
  </si>
  <si>
    <t xml:space="preserve">GATES DE LIBERACIÓN POR TRAMO</t>
  </si>
  <si>
    <t xml:space="preserve">Tramo</t>
  </si>
  <si>
    <t xml:space="preserve">Mes activación</t>
  </si>
  <si>
    <t xml:space="preserve">Hito requerido</t>
  </si>
  <si>
    <t xml:space="preserve">Tramo 1</t>
  </si>
  <si>
    <t xml:space="preserve">M1 (al cierre de ronda)</t>
  </si>
  <si>
    <t xml:space="preserve">Capital cerrado · MVP en Lovable funcional · 20 sellers preonboarded</t>
  </si>
  <si>
    <t xml:space="preserve">Tramo 2</t>
  </si>
  <si>
    <t xml:space="preserve">≥10 transacciones reales completadas · LTV:CAC ≥ 3× sostenido · Churn anual &lt;50%</t>
  </si>
  <si>
    <t xml:space="preserve">Tramo 3</t>
  </si>
  <si>
    <t xml:space="preserve">≥200 cuentas activas pagadoras · MRR ≥ €5K · GM real ≥70%</t>
  </si>
  <si>
    <t xml:space="preserve">Tramo 4</t>
  </si>
  <si>
    <t xml:space="preserve">≥800 cuentas activas pagadoras · MRR ≥ €25K · NRR ≥100% · Plan EU validado</t>
  </si>
  <si>
    <t xml:space="preserve">ANÁLISIS DE BURN RATE</t>
  </si>
  <si>
    <t xml:space="preserve">Burn rate medio mensual (€/mes)</t>
  </si>
  <si>
    <t xml:space="preserve">Cash al final de tramo (€)</t>
  </si>
  <si>
    <t xml:space="preserve">Runway al ritmo de burn de tramo (meses)</t>
  </si>
  <si>
    <t xml:space="preserve">VALIDACIÓN</t>
  </si>
  <si>
    <t xml:space="preserve">Capital total asignado vs €300K objetivo</t>
  </si>
  <si>
    <t xml:space="preserve">Diferencia</t>
  </si>
  <si>
    <t xml:space="preserve">OK?</t>
  </si>
  <si>
    <t xml:space="preserve">KPIs INSTITUCIONALES · GRADO GOLDMAN/MS</t>
  </si>
  <si>
    <t xml:space="preserve">Métricas que un comité de inversión sofisticado va a auditar. Cada una con benchmark y status semaforico.</t>
  </si>
  <si>
    <t xml:space="preserve">GROWTH &amp; EFICIENCIA</t>
  </si>
  <si>
    <t xml:space="preserve">KPI</t>
  </si>
  <si>
    <t xml:space="preserve">Valor M24</t>
  </si>
  <si>
    <t xml:space="preserve">Benchmark institucional</t>
  </si>
  <si>
    <t xml:space="preserve">MRR a M24 (€)</t>
  </si>
  <si>
    <t xml:space="preserve">Pre-seed: €5-15K · Seed: €25-50K</t>
  </si>
  <si>
    <t xml:space="preserve">Pre-seed graduate: €100-300K · Series A: €1M+</t>
  </si>
  <si>
    <t xml:space="preserve">Magic Number (Net new ARR / S&amp;M spend)</t>
  </si>
  <si>
    <t xml:space="preserve">&gt;0.75 = green; &gt;1.0 = excelente growth efficiency</t>
  </si>
  <si>
    <t xml:space="preserve">Burn Multiple (capital quemado / ARR neto)</t>
  </si>
  <si>
    <t xml:space="preserve">&lt;1× excelente · 1-2× bueno · &gt;2× problema</t>
  </si>
  <si>
    <t xml:space="preserve">Rule of 40 (Growth + EBITDA margin)</t>
  </si>
  <si>
    <t xml:space="preserve">≥40% indicates SaaS health</t>
  </si>
  <si>
    <t xml:space="preserve">RETENTION &amp; EXPANSION</t>
  </si>
  <si>
    <t xml:space="preserve">Benchmark</t>
  </si>
  <si>
    <t xml:space="preserve">NRR (Net Revenue Retention) — base</t>
  </si>
  <si>
    <t xml:space="preserve">&gt;100% expansión · &gt;120% world-class</t>
  </si>
  <si>
    <t xml:space="preserve">Gross logo retention anual</t>
  </si>
  <si>
    <t xml:space="preserve">&gt;70% marketplace B2B · &gt;85% SaaS</t>
  </si>
  <si>
    <t xml:space="preserve">&gt;3× sano · &gt;5× excelente</t>
  </si>
  <si>
    <t xml:space="preserve">CAC Payback</t>
  </si>
  <si>
    <t xml:space="preserve">&lt;12 mo sano · &lt;18 mo aceptable</t>
  </si>
  <si>
    <t xml:space="preserve">QUALITY OF GROWTH</t>
  </si>
  <si>
    <t xml:space="preserve">&gt;70% marketplace · &gt;75% SaaS</t>
  </si>
  <si>
    <t xml:space="preserve">Pre-seed B2B SMB: €50-150</t>
  </si>
  <si>
    <t xml:space="preserve">Cuentas activas M24</t>
  </si>
  <si>
    <t xml:space="preserve">Pre-seed exit: 500-2000 cuentas</t>
  </si>
  <si>
    <t xml:space="preserve">GMV mensual M24 run-rate (€)</t>
  </si>
  <si>
    <t xml:space="preserve">Pre-seed exit: €30-150K/mes</t>
  </si>
  <si>
    <t xml:space="preserve">TRIGGERS PARA SERIES A</t>
  </si>
  <si>
    <t xml:space="preserve">Trigger</t>
  </si>
  <si>
    <t xml:space="preserve">Tu valor M24</t>
  </si>
  <si>
    <t xml:space="preserve">Threshold</t>
  </si>
  <si>
    <t xml:space="preserve">Listo?</t>
  </si>
  <si>
    <t xml:space="preserve">ARR ≥ €1M</t>
  </si>
  <si>
    <t xml:space="preserve">LTV:CAC ≥ 3× sostenido</t>
  </si>
  <si>
    <t xml:space="preserve">NRR ≥ 100%</t>
  </si>
  <si>
    <t xml:space="preserve">YoY growth ≥ 100%</t>
  </si>
  <si>
    <t xml:space="preserve">Burn multiple ≤ 2×</t>
  </si>
  <si>
    <t xml:space="preserve">VALORACIÓN PRE-SEED · COMPARABLES Y CAP TABLE</t>
  </si>
  <si>
    <t xml:space="preserve">ESTRUCTURA DE LA RONDA</t>
  </si>
  <si>
    <t xml:space="preserve">Conservador</t>
  </si>
  <si>
    <t xml:space="preserve">Base</t>
  </si>
  <si>
    <t xml:space="preserve">Agresivo</t>
  </si>
  <si>
    <t xml:space="preserve">Round size (€)</t>
  </si>
  <si>
    <t xml:space="preserve">Valuación post-money (€)</t>
  </si>
  <si>
    <t xml:space="preserve">Valuación pre-money (€)</t>
  </si>
  <si>
    <t xml:space="preserve">Dilución del founder (%)</t>
  </si>
  <si>
    <t xml:space="preserve">% retenido por founder post-ronda</t>
  </si>
  <si>
    <t xml:space="preserve">ESOP POOL (PARA HIRES POST-RONDA)</t>
  </si>
  <si>
    <t xml:space="preserve">ESOP creado pre-ronda (%)</t>
  </si>
  <si>
    <t xml:space="preserve">Standard: 10% pre-money para hires de M3-M18.</t>
  </si>
  <si>
    <t xml:space="preserve">Founder real post-ronda (con ESOP)</t>
  </si>
  <si>
    <t xml:space="preserve">COMPARABLES PRE-SEED · MARKETPLACES B2B EUROPA</t>
  </si>
  <si>
    <t xml:space="preserve">Empresa</t>
  </si>
  <si>
    <t xml:space="preserve">Año</t>
  </si>
  <si>
    <t xml:space="preserve">Round (€)</t>
  </si>
  <si>
    <t xml:space="preserve">Post-money (€)</t>
  </si>
  <si>
    <t xml:space="preserve">Ankorstore (pre-seed equiv.)</t>
  </si>
  <si>
    <t xml:space="preserve">2019</t>
  </si>
  <si>
    <t xml:space="preserve">Faire (US, ref.)</t>
  </si>
  <si>
    <t xml:space="preserve">2017</t>
  </si>
  <si>
    <t xml:space="preserve">Stoq (UK B2B)</t>
  </si>
  <si>
    <t xml:space="preserve">2021</t>
  </si>
  <si>
    <t xml:space="preserve">Spanish pre-seed B2B SaaS típico</t>
  </si>
  <si>
    <t xml:space="preserve">2024-25</t>
  </si>
  <si>
    <t xml:space="preserve">Lanzadera (referencia)</t>
  </si>
  <si>
    <t xml:space="preserve">Std</t>
  </si>
  <si>
    <t xml:space="preserve">Mediana comparables (referencial)</t>
  </si>
  <si>
    <t xml:space="preserve">% mediana de dilución en pre-seed comparables.</t>
  </si>
  <si>
    <t xml:space="preserve">JUSTIFICACIÓN DE LA VALORACIÓN BASE (€2M post-money)</t>
  </si>
  <si>
    <t xml:space="preserve">Argumento</t>
  </si>
  <si>
    <t xml:space="preserve">Magnitud</t>
  </si>
  <si>
    <t xml:space="preserve">TAM Europa (stock sobrante anual)</t>
  </si>
  <si>
    <t xml:space="preserve">€10.000M (Documento Maestro)</t>
  </si>
  <si>
    <t xml:space="preserve">SOM realista España + Portugal a 5 años</t>
  </si>
  <si>
    <t xml:space="preserve">€60-100M GMV anual</t>
  </si>
  <si>
    <t xml:space="preserve">Take rate efectivo objetivo año 5</t>
  </si>
  <si>
    <t xml:space="preserve">12-15%</t>
  </si>
  <si>
    <t xml:space="preserve">ARR objetivo año 5</t>
  </si>
  <si>
    <t xml:space="preserve">€7-12M (rango Series A → Series B)</t>
  </si>
  <si>
    <t xml:space="preserve">Múltiplo SaaS B2B Europa (revenue x5-8)</t>
  </si>
  <si>
    <t xml:space="preserve">Exit value €40-100M en año 5-7</t>
  </si>
  <si>
    <t xml:space="preserve">ROI sobre €300K @ 1% retenido al exit</t>
  </si>
  <si>
    <t xml:space="preserve">€100-250K (33-83x)</t>
  </si>
  <si>
    <t xml:space="preserve">Validación Goldman/MS: pre-seed razonable 10-20% dilution</t>
  </si>
  <si>
    <t xml:space="preserve">€2M post coloca en 15% (centro del rango)</t>
  </si>
  <si>
    <t xml:space="preserve">PATH A LA SIGUIENTE RONDA</t>
  </si>
  <si>
    <t xml:space="preserve">Siguiente milestone</t>
  </si>
  <si>
    <t xml:space="preserve">Cuándo</t>
  </si>
  <si>
    <t xml:space="preserve">Tipo de ronda</t>
  </si>
  <si>
    <t xml:space="preserve">Round size esperado</t>
  </si>
  <si>
    <t xml:space="preserve">MRR €25K + €1M ARR</t>
  </si>
  <si>
    <t xml:space="preserve">M18-24</t>
  </si>
  <si>
    <t xml:space="preserve">Seed</t>
  </si>
  <si>
    <t xml:space="preserve">€800K-1.5M</t>
  </si>
  <si>
    <t xml:space="preserve">MRR €80K + €3M ARR + EU pilot</t>
  </si>
  <si>
    <t xml:space="preserve">M30-36</t>
  </si>
  <si>
    <t xml:space="preserve">Series A</t>
  </si>
  <si>
    <t xml:space="preserve">€3-5M</t>
  </si>
  <si>
    <t xml:space="preserve">MRR €300K + €10M ARR + EU multi-country</t>
  </si>
  <si>
    <t xml:space="preserve">M48-60</t>
  </si>
  <si>
    <t xml:space="preserve">Series B</t>
  </si>
  <si>
    <t xml:space="preserve">€8-15M</t>
  </si>
  <si>
    <t xml:space="preserve">ASSUMPTIONS · INPUTS DEL MODELO</t>
  </si>
  <si>
    <t xml:space="preserve">Celdas en azul sobre fondo amarillo = inputs editables. Celdas en negro = fórmulas. Verdes = referencias cross-sheet.</t>
  </si>
  <si>
    <t xml:space="preserve">GMV, AOV Y TAKE RATE</t>
  </si>
  <si>
    <t xml:space="preserve">Pesimista</t>
  </si>
  <si>
    <t xml:space="preserve">Optimista</t>
  </si>
  <si>
    <t xml:space="preserve">AOV — valor medio por lote (€)</t>
  </si>
  <si>
    <t xml:space="preserve">Lote típico de stock sobrante; texto del Documento Maestro: 50–500€.</t>
  </si>
  <si>
    <t xml:space="preserve">Transacciones / cliente activo / año</t>
  </si>
  <si>
    <t xml:space="preserve">Comerciantes con stock estacional → 2-4 ciclos/año. Power sellers → 12+.</t>
  </si>
  <si>
    <t xml:space="preserve">GMV / cliente / año (€)</t>
  </si>
  <si>
    <t xml:space="preserve">Fórmula: AOV × Frecuencia anual.</t>
  </si>
  <si>
    <t xml:space="preserve">Take rate vendedor</t>
  </si>
  <si>
    <t xml:space="preserve">Decisión fijada: 8%. Pesimista = pricing erosion. Optimista = premium tier.</t>
  </si>
  <si>
    <t xml:space="preserve">Take rate comprador</t>
  </si>
  <si>
    <t xml:space="preserve">Cobrado al comprador sobre el valor del lote.</t>
  </si>
  <si>
    <t xml:space="preserve">Suma de comisión vendedor + comprador.</t>
  </si>
  <si>
    <t xml:space="preserve">INGRESOS POR SUSCRIPCIÓN PREMIUM (FUTURO)</t>
  </si>
  <si>
    <t xml:space="preserve">Precio Premium / mes (€)</t>
  </si>
  <si>
    <t xml:space="preserve">Pricing comparable a Faire / Ankorstore Pro tiers.</t>
  </si>
  <si>
    <t xml:space="preserve">% adopción Premium (sobre activos)</t>
  </si>
  <si>
    <t xml:space="preserve">% de cuentas activas que pagan suscripción.</t>
  </si>
  <si>
    <t xml:space="preserve">ARR Premium / cuenta activa</t>
  </si>
  <si>
    <t xml:space="preserve">MEZCLA DE CUENTAS</t>
  </si>
  <si>
    <t xml:space="preserve">% sellers (vs buyers) en base activa</t>
  </si>
  <si>
    <t xml:space="preserve">Marketplace simétrico, pero los sellers pagan más → quieres más sellers.</t>
  </si>
  <si>
    <t xml:space="preserve">% buyers</t>
  </si>
  <si>
    <t xml:space="preserve">CHURN &amp; EXPANSIÓN</t>
  </si>
  <si>
    <t xml:space="preserve">Marketplace B2B típicamente 30-50%. Sellers churnan tras liquidar stock.</t>
  </si>
  <si>
    <t xml:space="preserve">Net Revenue Retention (expansión)</t>
  </si>
  <si>
    <t xml:space="preserve">NRR &gt; 100% = clientes existentes crecen. Esencial para escalar.</t>
  </si>
  <si>
    <t xml:space="preserve">COSTOS DIRECTOS (COGS)</t>
  </si>
  <si>
    <t xml:space="preserve">Comisión Stripe Connect (% sobre GMV)</t>
  </si>
  <si>
    <t xml:space="preserve">Stripe Connect estándar: 1.4% + 0.25€ EU + ~0.5% platform fee.</t>
  </si>
  <si>
    <t xml:space="preserve">Hosting + infra / cuenta / año (€)</t>
  </si>
  <si>
    <t xml:space="preserve">Supabase + Lovable allocados. Coste fijo se vuelve marginal con escala.</t>
  </si>
  <si>
    <t xml:space="preserve">APIs terceros / cuenta / año (€)</t>
  </si>
  <si>
    <t xml:space="preserve">Email (Brevo), KYC, antifraude, S3 imágenes.</t>
  </si>
  <si>
    <t xml:space="preserve">Soporte tier-1 / cuenta / año (€)</t>
  </si>
  <si>
    <t xml:space="preserve">Disputas de marketplace son intensivas. Subestimado en planes founder-led.</t>
  </si>
  <si>
    <t xml:space="preserve">Verificación KYC vendedor / cuenta / año (€)</t>
  </si>
  <si>
    <t xml:space="preserve">Onfido / Veriff. Amortizado por años de vida del cliente.</t>
  </si>
  <si>
    <t xml:space="preserve">CAC POR CANAL Y MIX</t>
  </si>
  <si>
    <t xml:space="preserve">Canal</t>
  </si>
  <si>
    <t xml:space="preserve">% del mix</t>
  </si>
  <si>
    <t xml:space="preserve">Comunidades Telegram / Discord (orgánico)</t>
  </si>
  <si>
    <t xml:space="preserve">Tiempo del founder valorado</t>
  </si>
  <si>
    <t xml:space="preserve">Outreach directo founder-led</t>
  </si>
  <si>
    <t xml:space="preserve">1h calificar + 2h cierre × 30€/h</t>
  </si>
  <si>
    <t xml:space="preserve">SEO + Contenido</t>
  </si>
  <si>
    <t xml:space="preserve">Escala bien; lag 6-12 meses</t>
  </si>
  <si>
    <t xml:space="preserve">Partnerships academias dropshipping</t>
  </si>
  <si>
    <t xml:space="preserve">% revenue share + bonus</t>
  </si>
  <si>
    <t xml:space="preserve">Paid ads (Meta / Google)</t>
  </si>
  <si>
    <t xml:space="preserve">B2B SMB cuesta caro; CTR bajo</t>
  </si>
  <si>
    <t xml:space="preserve">Total mix</t>
  </si>
  <si>
    <t xml:space="preserve">Debe sumar 100%.</t>
  </si>
  <si>
    <t xml:space="preserve">CAC blended (base)</t>
  </si>
  <si>
    <t xml:space="preserve">OPEX FIJO (PARA BREAK-EVEN)</t>
  </si>
  <si>
    <t xml:space="preserve">Salario founder + freelancers / mes (€)</t>
  </si>
  <si>
    <t xml:space="preserve">Coste mensual fully-loaded incluyendo SS autónomo.</t>
  </si>
  <si>
    <t xml:space="preserve">Tooling, dominios, legal / mes (€)</t>
  </si>
  <si>
    <t xml:space="preserve">Lovable + Supabase + Notion + asesoría.</t>
  </si>
  <si>
    <t xml:space="preserve">Marketing fijo (no-CAC) / mes (€)</t>
  </si>
  <si>
    <t xml:space="preserve">Branding, herramientas SEO, contenido.</t>
  </si>
  <si>
    <t xml:space="preserve">OPEX fijo total / mes (€)</t>
  </si>
  <si>
    <t xml:space="preserve">OPEX fijo total / año (€)</t>
  </si>
  <si>
    <t xml:space="preserve">GROSS MARGIN · MARGEN BRUTO REAL</t>
  </si>
  <si>
    <t xml:space="preserve">Costos directos por cuenta activa/año. Compara margen bruto 'de fantasía' vs. ajustado.</t>
  </si>
  <si>
    <t xml:space="preserve">REVENUE POR CUENTA</t>
  </si>
  <si>
    <t xml:space="preserve">GMV / cuenta activa / año (€)</t>
  </si>
  <si>
    <t xml:space="preserve">Revenue comisión / año (€)</t>
  </si>
  <si>
    <t xml:space="preserve">Revenue Premium / año (€)</t>
  </si>
  <si>
    <t xml:space="preserve">ARPA total / año (€)</t>
  </si>
  <si>
    <t xml:space="preserve">Fórmula: (GMV × take rate) + (Premium × % adopción × 12).</t>
  </si>
  <si>
    <t xml:space="preserve">COGS DETALLADO POR CUENTA / AÑO</t>
  </si>
  <si>
    <t xml:space="preserve">Procesamiento de pagos (Stripe Connect)</t>
  </si>
  <si>
    <t xml:space="preserve">Fórmula: GMV × % Stripe. ESTE es el COGS más grande.</t>
  </si>
  <si>
    <t xml:space="preserve">Hosting + servidores (Supabase + Lovable)</t>
  </si>
  <si>
    <t xml:space="preserve">APIs terceros (email, S3, antifraude)</t>
  </si>
  <si>
    <t xml:space="preserve">Soporte tier-1 (disputas, onboarding)</t>
  </si>
  <si>
    <t xml:space="preserve">Verificación KYC vendedor</t>
  </si>
  <si>
    <t xml:space="preserve">TOTAL COGS / cuenta / año</t>
  </si>
  <si>
    <t xml:space="preserve">GROSS PROFIT &amp; GROSS MARGIN</t>
  </si>
  <si>
    <t xml:space="preserve">Fórmula: ARPA − COGS.</t>
  </si>
  <si>
    <t xml:space="preserve">Gross Margin (real)</t>
  </si>
  <si>
    <t xml:space="preserve">MARGEN 'DE FANTASÍA' vs. AJUSTADO</t>
  </si>
  <si>
    <t xml:space="preserve">Margen 'de fantasía' (solo ignorando Stripe y soporte)</t>
  </si>
  <si>
    <t xml:space="preserve">Trampa común en pitch decks: ignorar el coste real de payment processing y soporte.</t>
  </si>
  <si>
    <t xml:space="preserve">Diferencia (puntos porcentuales)</t>
  </si>
  <si>
    <t xml:space="preserve">GROSS MARGIN BASE (referencia Dashboard)</t>
  </si>
  <si>
    <t xml:space="preserve">LTV · LIFETIME VALUE</t>
  </si>
  <si>
    <t xml:space="preserve">LTV = (ARPA × Gross Margin) / Churn. Modelo de cohorte simple, sin discount rate (conservador).</t>
  </si>
  <si>
    <t xml:space="preserve">INPUTS LTV</t>
  </si>
  <si>
    <t xml:space="preserve">ARPA / año (€)</t>
  </si>
  <si>
    <t xml:space="preserve">Net Revenue Retention (NRR)</t>
  </si>
  <si>
    <t xml:space="preserve">Churn neto efectivo (revenue churn − expansión)</t>
  </si>
  <si>
    <t xml:space="preserve">Fórmula: Churn − (NRR − 1). Floor 5% para evitar LTV infinito.</t>
  </si>
  <si>
    <t xml:space="preserve">CÁLCULO LTV</t>
  </si>
  <si>
    <t xml:space="preserve">LTV simple (sin Gross Margin)</t>
  </si>
  <si>
    <t xml:space="preserve">Fórmula: ARPA / Churn neto. SIN considerar margen → métrica vanidosa.</t>
  </si>
  <si>
    <t xml:space="preserve">LTV ajustado por Gross Margin</t>
  </si>
  <si>
    <t xml:space="preserve">Fórmula: (ARPA × GM) / Churn neto. ESTE es el LTV real.</t>
  </si>
  <si>
    <t xml:space="preserve">Vida media del cliente (años)</t>
  </si>
  <si>
    <t xml:space="preserve">SENSIBILIDAD LTV — CHURN × NRR (BASE)</t>
  </si>
  <si>
    <t xml:space="preserve">Churn / NRR</t>
  </si>
  <si>
    <t xml:space="preserve">Churn base (publicado)</t>
  </si>
  <si>
    <t xml:space="preserve">ANCHORS PARA DASHBOARD</t>
  </si>
  <si>
    <t xml:space="preserve">ARPA base</t>
  </si>
  <si>
    <t xml:space="preserve">ARPA base (publicado)</t>
  </si>
  <si>
    <t xml:space="preserve">Contribution Margin / cliente / año (€)</t>
  </si>
  <si>
    <t xml:space="preserve">LTV BASE (publicado)</t>
  </si>
  <si>
    <t xml:space="preserve">CAC · CUSTOMER ACQUISITION COST</t>
  </si>
  <si>
    <t xml:space="preserve">CAC blended por canal y CAC payback period. Benchmark SaaS sano: payback &lt; 12-18 meses.</t>
  </si>
  <si>
    <t xml:space="preserve">DESGLOSE POR CANAL</t>
  </si>
  <si>
    <t xml:space="preserve">% mix</t>
  </si>
  <si>
    <t xml:space="preserve">CAC × mix</t>
  </si>
  <si>
    <t xml:space="preserve">Payback (meses)</t>
  </si>
  <si>
    <t xml:space="preserve">SEO + Contenido (orgánico)</t>
  </si>
  <si>
    <t xml:space="preserve">ESCENARIOS CAC</t>
  </si>
  <si>
    <t xml:space="preserve">Pesimista (+30%)</t>
  </si>
  <si>
    <t xml:space="preserve">Optimista (-30%)</t>
  </si>
  <si>
    <t xml:space="preserve">Payback period</t>
  </si>
  <si>
    <t xml:space="preserve">CAC BASE (publicado)</t>
  </si>
  <si>
    <t xml:space="preserve">RATIO LTV : CAC</t>
  </si>
  <si>
    <t xml:space="preserve">Si &lt;1: cada cliente quema dinero. ROJO.</t>
  </si>
  <si>
    <t xml:space="preserve">Benchmark sano: &gt; 3x.</t>
  </si>
  <si>
    <t xml:space="preserve">&gt; 5x es excelente; &gt;7x sugiere underspend en CAC.</t>
  </si>
  <si>
    <t xml:space="preserve">DIAGNÓSTICO POR ESCENARIO</t>
  </si>
  <si>
    <t xml:space="preserve">LTV:CAC</t>
  </si>
  <si>
    <t xml:space="preserve">CASH FLOW POR COHORTE · BREAK-EVEN POR CLIENTE</t>
  </si>
  <si>
    <t xml:space="preserve">Fila por mes desde adquisición. Negativo = aún no ha pagado el CAC. Mes que cruza positivo = payback.</t>
  </si>
  <si>
    <t xml:space="preserve">Concepto / mes</t>
  </si>
  <si>
    <t xml:space="preserve">Revenue mensual / cliente (€)</t>
  </si>
  <si>
    <t xml:space="preserve">COGS mensual / cliente (€)</t>
  </si>
  <si>
    <t xml:space="preserve">Contribución mensual neta (€)</t>
  </si>
  <si>
    <t xml:space="preserve">Cash flow acumulado (€)</t>
  </si>
  <si>
    <t xml:space="preserve">Payback alcanzado?</t>
  </si>
  <si>
    <t xml:space="preserve">RESUMEN COHORTE</t>
  </si>
  <si>
    <t xml:space="preserve">CAC pagado en M0</t>
  </si>
  <si>
    <t xml:space="preserve">Contribución mensual recurrente</t>
  </si>
  <si>
    <t xml:space="preserve">Mes de payback (cruce a positivo)</t>
  </si>
  <si>
    <t xml:space="preserve">Cuenta la primera columna donde el acumulado es ≥ 0.</t>
  </si>
  <si>
    <t xml:space="preserve">Vida media (años)</t>
  </si>
  <si>
    <t xml:space="preserve">LTV total (€)</t>
  </si>
  <si>
    <t xml:space="preserve">ROI sobre CAC (LTV/CAC)</t>
  </si>
  <si>
    <t xml:space="preserve">IMPACTO DE WORKING CAPITAL · MENSUAL vs ANUAL</t>
  </si>
  <si>
    <t xml:space="preserve">Plan</t>
  </si>
  <si>
    <t xml:space="preserve">Pago</t>
  </si>
  <si>
    <t xml:space="preserve">Cash en M0</t>
  </si>
  <si>
    <t xml:space="preserve">Working capital</t>
  </si>
  <si>
    <t xml:space="preserve">Comentario</t>
  </si>
  <si>
    <t xml:space="preserve">Premium mensual</t>
  </si>
  <si>
    <t xml:space="preserve">29€ / mes</t>
  </si>
  <si>
    <t xml:space="preserve">Cash flow gradual; menor compromiso → más churn voluntario.</t>
  </si>
  <si>
    <t xml:space="preserve">Premium anual (-15% descuento)</t>
  </si>
  <si>
    <t xml:space="preserve">295€ / año</t>
  </si>
  <si>
    <t xml:space="preserve">Working capital adelantado: 296€ frente a 29€. 10x más cash en M0.</t>
  </si>
  <si>
    <t xml:space="preserve">Cash adicional / cliente anual vs mensual</t>
  </si>
  <si>
    <t xml:space="preserve">Cada 100 clientes anuales = ~26K€ de cash adelantado vs mensual.</t>
  </si>
  <si>
    <t xml:space="preserve">BREAK-EVEN OPERATIVO Y BURN</t>
  </si>
  <si>
    <t xml:space="preserve">Cuántos clientes activos pagadores se necesitan para cubrir OPEX fijo. Cuánto capital se quema antes.</t>
  </si>
  <si>
    <t xml:space="preserve">INPUTS BREAK-EVEN</t>
  </si>
  <si>
    <t xml:space="preserve">OPEX fijo anual (€)</t>
  </si>
  <si>
    <t xml:space="preserve">BREAK-EVEN OPERATIVO (clientes ya adquiridos)</t>
  </si>
  <si>
    <t xml:space="preserve">Clientes activos para cubrir OPEX</t>
  </si>
  <si>
    <t xml:space="preserve">Fórmula: OPEX anual / Contribution Margin por cliente.</t>
  </si>
  <si>
    <t xml:space="preserve">BREAK-EVEN A ESTADO ESTABLE (incluye reposición churn)</t>
  </si>
  <si>
    <t xml:space="preserve">Clientes nuevos / año por reposición de churn</t>
  </si>
  <si>
    <t xml:space="preserve">Coste reposición anual (CAC × churn × N)</t>
  </si>
  <si>
    <t xml:space="preserve">Total coste anual (OPEX + reposición)</t>
  </si>
  <si>
    <t xml:space="preserve">Clientes activos para break-even total (estado estable)</t>
  </si>
  <si>
    <t xml:space="preserve">Iterativo simplificado. Asume CAC se gasta cada año para reponer churn.</t>
  </si>
  <si>
    <t xml:space="preserve">BURN ACUMULADO HASTA BREAK-EVEN</t>
  </si>
  <si>
    <t xml:space="preserve">Tiempo a break-even (años)</t>
  </si>
  <si>
    <t xml:space="preserve">OPEX acumulado (€)</t>
  </si>
  <si>
    <t xml:space="preserve">CAC total acumulado (€)</t>
  </si>
  <si>
    <t xml:space="preserve">Aproximación: CAC × clientes break-even (asume todos adquiridos en el periodo).</t>
  </si>
  <si>
    <t xml:space="preserve">Revenue acumulado (€)</t>
  </si>
  <si>
    <t xml:space="preserve">Aproximación lineal: triángulo bajo la curva (revenue crece lineal hasta break-even).</t>
  </si>
  <si>
    <t xml:space="preserve">Burn neto antes de break-even (€)</t>
  </si>
  <si>
    <t xml:space="preserve">Capital total a levantar (con buffer 30%)</t>
  </si>
  <si>
    <t xml:space="preserve">BURN BASE (publicado)</t>
  </si>
  <si>
    <t xml:space="preserve">ANÁLISIS DE SENSIBILIDAD · LTV:CAC</t>
  </si>
  <si>
    <t xml:space="preserve">Tablas 2D: ¿qué pasa si cambia precio, churn o CAC ±?</t>
  </si>
  <si>
    <t xml:space="preserve">MATRIZ 1 · LTV:CAC vs PRECIO (TAKE RATE) × CHURN</t>
  </si>
  <si>
    <t xml:space="preserve">Δ Take rate \\ Δ Churn</t>
  </si>
  <si>
    <t xml:space="preserve">Cada celda = LTV:CAC. Verde &gt;3x; rojo &lt;2x.</t>
  </si>
  <si>
    <t xml:space="preserve">MATRIZ 2 · LTV:CAC vs PRECIO × CAC</t>
  </si>
  <si>
    <t xml:space="preserve">Δ Take rate \\ Δ CAC</t>
  </si>
  <si>
    <t xml:space="preserve">MATRIZ 3 · PAYBACK (meses) vs PRECIO × CAC</t>
  </si>
  <si>
    <t xml:space="preserve">PATH TO $10M ARR · ¿ESCALA O ZOMBIE?</t>
  </si>
  <si>
    <t xml:space="preserve">DESCOMPOSICIÓN DE $10M ARR</t>
  </si>
  <si>
    <t xml:space="preserve">Objetivo ARR (€)</t>
  </si>
  <si>
    <t xml:space="preserve">ARPA / cuenta / año (€)</t>
  </si>
  <si>
    <t xml:space="preserve">Cuentas activas pagadoras necesarias</t>
  </si>
  <si>
    <t xml:space="preserve">GMV anual implícito (€)</t>
  </si>
  <si>
    <t xml:space="preserve">COMPARACIÓN CON PLAN OFICIAL (3 AÑOS)</t>
  </si>
  <si>
    <t xml:space="preserve">GMV plan año 3 (€)</t>
  </si>
  <si>
    <t xml:space="preserve">Múltiplo necesario sobre plan año 3</t>
  </si>
  <si>
    <t xml:space="preserve">Tasa CAGR requerida (de año 3 a año 7)</t>
  </si>
  <si>
    <t xml:space="preserve">PALANCAS PARA CERRAR EL GAP</t>
  </si>
  <si>
    <t xml:space="preserve">Valor base</t>
  </si>
  <si>
    <t xml:space="preserve">Valor objetivo</t>
  </si>
  <si>
    <t xml:space="preserve">Impacto en ARPA</t>
  </si>
  <si>
    <t xml:space="preserve">Subir take rate efectivo</t>
  </si>
  <si>
    <t xml:space="preserve">Subir AOV (lotes &gt;€500)</t>
  </si>
  <si>
    <t xml:space="preserve">Subir frecuencia transacciones</t>
  </si>
  <si>
    <t xml:space="preserve">Aumentar adopción Premium</t>
  </si>
  <si>
    <t xml:space="preserve">Margen logística integrada (% sobre GMV)</t>
  </si>
  <si>
    <t xml:space="preserve">ARPA 'palanca' total (€)</t>
  </si>
  <si>
    <t xml:space="preserve">Cuentas necesarias con palancas activas</t>
  </si>
  <si>
    <t xml:space="preserve">RED FLAGS · CUÁNDO PIVOTAR O CERRAR</t>
  </si>
  <si>
    <t xml:space="preserve">DASHBOARD DE ALARMAS</t>
  </si>
  <si>
    <t xml:space="preserve">Tu valor (Base)</t>
  </si>
  <si>
    <t xml:space="preserve">Umbral RED</t>
  </si>
  <si>
    <t xml:space="preserve">&lt;2.0x</t>
  </si>
  <si>
    <t xml:space="preserve">&gt;18 meses</t>
  </si>
  <si>
    <t xml:space="preserve">&lt;60%</t>
  </si>
  <si>
    <t xml:space="preserve">Churn anual (gross)</t>
  </si>
  <si>
    <t xml:space="preserve">&gt;50%</t>
  </si>
  <si>
    <t xml:space="preserve">NRR (Net Revenue Retention)</t>
  </si>
  <si>
    <t xml:space="preserve">&lt;90%</t>
  </si>
  <si>
    <t xml:space="preserve">&gt;2.0x</t>
  </si>
  <si>
    <t xml:space="preserve">&lt;10%</t>
  </si>
  <si>
    <t xml:space="preserve">Concentración revenue (top 10 clientes)</t>
  </si>
  <si>
    <t xml:space="preserve">ÁRBOL DE DECISIÓN</t>
  </si>
  <si>
    <t xml:space="preserve">Plan de acción</t>
  </si>
  <si>
    <t xml:space="preserve">CONTINUAR</t>
  </si>
  <si>
    <t xml:space="preserve">LTV:CAC &gt; 3x · Payback &lt; 12 meses · GM &gt; 70% · Churn &lt; 30%</t>
  </si>
  <si>
    <t xml:space="preserve">Doble down. Levanta seed/Series A. Escala canales pagados.</t>
  </si>
  <si>
    <t xml:space="preserve">AJUSTAR PRICING</t>
  </si>
  <si>
    <t xml:space="preserve">LTV:CAC entre 1.5-3x · GM &gt; 60%</t>
  </si>
  <si>
    <t xml:space="preserve">Sube comisión 20-30%, lanza Premium agresivo, recorta paid CAC. 6 meses para reevaluar.</t>
  </si>
  <si>
    <t xml:space="preserve">PIVOTAR NICHO</t>
  </si>
  <si>
    <t xml:space="preserve">Churn &gt; 50% · NRR &lt; 80% · clientes no vuelven</t>
  </si>
  <si>
    <t xml:space="preserve">El producto no engancha. Pivota a vertical más concentrada (ej: solo moda B2B, solo electrónica). O cambia ICP.</t>
  </si>
  <si>
    <t xml:space="preserve">PIVOTAR MODELO</t>
  </si>
  <si>
    <t xml:space="preserve">GM &lt; 40% · CAC &gt; LTV en todos los escenarios</t>
  </si>
  <si>
    <t xml:space="preserve">Marketplace de comisión no funciona. Cambia a SaaS puro (€99/mes inventory tool) o a transactional fee fijo.</t>
  </si>
  <si>
    <t xml:space="preserve">CERRAR</t>
  </si>
  <si>
    <t xml:space="preserve">12 meses sin alcanzar 10 transacciones reales · Burn &gt; capital · Sin product-market fit</t>
  </si>
  <si>
    <t xml:space="preserve">Honor your runway. Cierra rápido y limpio. La startup está muerta — no la prolongues.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</si>
</sst>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€#,##0;&quot;(€&quot;#,##0\);\-"/>
    <numFmt numFmtId="166" formatCode="0.0%"/>
    <numFmt numFmtId="167" formatCode="\€#,##0;&quot;(€&quot;#,##0\);\-"/>
    <numFmt numFmtId="168" formatCode="\+0.0%;\-0.0%"/>
    <numFmt numFmtId="169" formatCode="0.0\x"/>
    <numFmt numFmtId="170" formatCode="0.0"/>
    <numFmt numFmtId="171" formatCode="#,##0"/>
    <numFmt numFmtId="172" formatCode="0.0\x"/>
    <numFmt numFmtId="173" formatCode="\€#,##0"/>
    <numFmt numFmtId="174" formatCode="\€#,##0.00;&quot;(€&quot;#,##0.00\);\-"/>
    <numFmt numFmtId="175" formatCode="0.0%;\(0.0%\);\-"/>
    <numFmt numFmtId="176" formatCode="0.00\x"/>
    <numFmt numFmtId="177" formatCode="0.0&quot; mo&quot;"/>
    <numFmt numFmtId="178" formatCode="#,##0;\(#,##0\);\-"/>
    <numFmt numFmtId="179" formatCode="0"/>
    <numFmt numFmtId="180" formatCode="0.0&quot; años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A5F"/>
        <bgColor rgb="FF1F3864"/>
      </patternFill>
    </fill>
    <fill>
      <patternFill patternType="solid">
        <fgColor rgb="FFC9A961"/>
        <bgColor rgb="FFF4B084"/>
      </patternFill>
    </fill>
    <fill>
      <patternFill patternType="solid">
        <fgColor rgb="FFF4F1EA"/>
        <bgColor rgb="FFF2F2F2"/>
      </patternFill>
    </fill>
    <fill>
      <patternFill patternType="solid">
        <fgColor rgb="FFFFFACD"/>
        <bgColor rgb="FFFFF2CC"/>
      </patternFill>
    </fill>
    <fill>
      <patternFill patternType="solid">
        <fgColor rgb="FFD5F5E3"/>
        <bgColor rgb="FFDDEBF7"/>
      </patternFill>
    </fill>
    <fill>
      <patternFill patternType="solid">
        <fgColor rgb="FFFADBD8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ADBD8"/>
      </patternFill>
    </fill>
    <fill>
      <patternFill patternType="solid">
        <fgColor rgb="FFC6EFCE"/>
        <bgColor rgb="FFD5F5E3"/>
      </patternFill>
    </fill>
    <fill>
      <patternFill patternType="solid">
        <fgColor rgb="FF1F3864"/>
        <bgColor rgb="FF1F3A5F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FF2CC"/>
      </patternFill>
    </fill>
    <fill>
      <patternFill patternType="solid">
        <fgColor rgb="FFEAF1F8"/>
        <bgColor rgb="FFF2F2F2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AF1F8"/>
      </patternFill>
    </fill>
    <fill>
      <patternFill patternType="solid">
        <fgColor rgb="FFC6E0B4"/>
        <bgColor rgb="FFC6EFCE"/>
      </patternFill>
    </fill>
    <fill>
      <patternFill patternType="solid">
        <fgColor rgb="FFF4B084"/>
        <bgColor rgb="FFC9A961"/>
      </patternFill>
    </fill>
    <fill>
      <patternFill patternType="solid">
        <fgColor rgb="FFB4C7E7"/>
        <bgColor rgb="FF9DC3E6"/>
      </patternFill>
    </fill>
    <fill>
      <patternFill patternType="solid">
        <fgColor rgb="FF9DC3E6"/>
        <bgColor rgb="FFB4C7E7"/>
      </patternFill>
    </fill>
    <fill>
      <patternFill patternType="solid">
        <fgColor rgb="FFFFF2CC"/>
        <bgColor rgb="FFFFFACD"/>
      </patternFill>
    </fill>
    <fill>
      <patternFill patternType="solid">
        <fgColor rgb="FFF2F2F2"/>
        <bgColor rgb="FFF4F1E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2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2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1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2" fillId="2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2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2" fillId="2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1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1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8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1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1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2" fillId="2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1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1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C6E0B4"/>
      <rgbColor rgb="FF993366"/>
      <rgbColor rgb="FFFFFACD"/>
      <rgbColor rgb="FFDDEBF7"/>
      <rgbColor rgb="FF660066"/>
      <rgbColor rgb="FFC9A961"/>
      <rgbColor rgb="FF0066CC"/>
      <rgbColor rgb="FFB4C7E7"/>
      <rgbColor rgb="FF000080"/>
      <rgbColor rgb="FFFF00FF"/>
      <rgbColor rgb="FFC6EFCE"/>
      <rgbColor rgb="FF00FFFF"/>
      <rgbColor rgb="FF800080"/>
      <rgbColor rgb="FF800000"/>
      <rgbColor rgb="FF008080"/>
      <rgbColor rgb="FF0000FF"/>
      <rgbColor rgb="FF00CCFF"/>
      <rgbColor rgb="FFEAF1F8"/>
      <rgbColor rgb="FFD5F5E3"/>
      <rgbColor rgb="FFFFE699"/>
      <rgbColor rgb="FF9DC3E6"/>
      <rgbColor rgb="FFF4B084"/>
      <rgbColor rgb="FFD9D9D9"/>
      <rgbColor rgb="FFFFC7CE"/>
      <rgbColor rgb="FF2E75B6"/>
      <rgbColor rgb="FFF2F2F2"/>
      <rgbColor rgb="FFE7E6E6"/>
      <rgbColor rgb="FFFADBD8"/>
      <rgbColor rgb="FFF4F1EA"/>
      <rgbColor rgb="FFFF6600"/>
      <rgbColor rgb="FF666666"/>
      <rgbColor rgb="FF999999"/>
      <rgbColor rgb="FF1F3864"/>
      <rgbColor rgb="FF339966"/>
      <rgbColor rgb="FF006100"/>
      <rgbColor rgb="FF333300"/>
      <rgbColor rgb="FF993300"/>
      <rgbColor rgb="FF993366"/>
      <rgbColor rgb="FF333399"/>
      <rgbColor rgb="FF1F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42"/>
    <col collapsed="false" customWidth="true" hidden="false" outlineLevel="0" max="4" min="4" style="1" width="25"/>
    <col collapsed="false" customWidth="true" hidden="false" outlineLevel="0" max="5" min="5" style="1" width="42"/>
    <col collapsed="false" customWidth="true" hidden="false" outlineLevel="0" max="7" min="6" style="1" width="18"/>
    <col collapsed="false" customWidth="true" hidden="false" outlineLevel="0" max="8" min="8" style="1" width="16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6" customFormat="false" ht="31.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</row>
    <row r="7" customFormat="false" ht="31.5" hidden="false" customHeight="true" outlineLevel="0" collapsed="false">
      <c r="B7" s="6" t="n">
        <v>1</v>
      </c>
      <c r="C7" s="6" t="s">
        <v>10</v>
      </c>
      <c r="D7" s="7" t="s">
        <v>11</v>
      </c>
      <c r="E7" s="7" t="s">
        <v>12</v>
      </c>
      <c r="F7" s="8" t="n">
        <v>16</v>
      </c>
      <c r="G7" s="7" t="s">
        <v>13</v>
      </c>
      <c r="H7" s="7" t="s">
        <v>14</v>
      </c>
    </row>
    <row r="8" customFormat="false" ht="31.5" hidden="false" customHeight="true" outlineLevel="0" collapsed="false">
      <c r="B8" s="9" t="n">
        <v>2</v>
      </c>
      <c r="C8" s="9" t="s">
        <v>15</v>
      </c>
      <c r="D8" s="10" t="s">
        <v>16</v>
      </c>
      <c r="E8" s="10" t="s">
        <v>17</v>
      </c>
      <c r="F8" s="11" t="n">
        <v>88</v>
      </c>
      <c r="G8" s="10" t="s">
        <v>18</v>
      </c>
      <c r="H8" s="10" t="s">
        <v>19</v>
      </c>
    </row>
    <row r="9" customFormat="false" ht="31.5" hidden="false" customHeight="true" outlineLevel="0" collapsed="false">
      <c r="B9" s="6" t="n">
        <v>3</v>
      </c>
      <c r="C9" s="6" t="s">
        <v>20</v>
      </c>
      <c r="D9" s="7" t="s">
        <v>21</v>
      </c>
      <c r="E9" s="7" t="s">
        <v>22</v>
      </c>
      <c r="F9" s="8" t="n">
        <v>45</v>
      </c>
      <c r="G9" s="7" t="s">
        <v>23</v>
      </c>
      <c r="H9" s="7" t="s">
        <v>24</v>
      </c>
    </row>
    <row r="10" customFormat="false" ht="31.5" hidden="false" customHeight="true" outlineLevel="0" collapsed="false">
      <c r="B10" s="9" t="n">
        <v>4</v>
      </c>
      <c r="C10" s="9" t="s">
        <v>25</v>
      </c>
      <c r="D10" s="10" t="s">
        <v>26</v>
      </c>
      <c r="E10" s="10" t="s">
        <v>27</v>
      </c>
      <c r="F10" s="11" t="n">
        <v>25</v>
      </c>
      <c r="G10" s="10" t="s">
        <v>28</v>
      </c>
      <c r="H10" s="10" t="s">
        <v>29</v>
      </c>
    </row>
    <row r="11" customFormat="false" ht="31.5" hidden="false" customHeight="true" outlineLevel="0" collapsed="false">
      <c r="B11" s="6" t="n">
        <v>5</v>
      </c>
      <c r="C11" s="6" t="s">
        <v>30</v>
      </c>
      <c r="D11" s="7" t="s">
        <v>31</v>
      </c>
      <c r="E11" s="7" t="s">
        <v>32</v>
      </c>
      <c r="F11" s="8" t="n">
        <v>20</v>
      </c>
      <c r="G11" s="7" t="s">
        <v>33</v>
      </c>
      <c r="H11" s="7" t="s">
        <v>14</v>
      </c>
    </row>
    <row r="12" customFormat="false" ht="31.5" hidden="false" customHeight="true" outlineLevel="0" collapsed="false">
      <c r="B12" s="9" t="n">
        <v>6</v>
      </c>
      <c r="C12" s="9" t="s">
        <v>34</v>
      </c>
      <c r="D12" s="10" t="s">
        <v>35</v>
      </c>
      <c r="E12" s="10" t="s">
        <v>36</v>
      </c>
      <c r="F12" s="11" t="n">
        <v>35</v>
      </c>
      <c r="G12" s="10" t="s">
        <v>37</v>
      </c>
      <c r="H12" s="10" t="s">
        <v>38</v>
      </c>
    </row>
    <row r="13" customFormat="false" ht="31.5" hidden="false" customHeight="true" outlineLevel="0" collapsed="false">
      <c r="B13" s="6" t="n">
        <v>7</v>
      </c>
      <c r="C13" s="6" t="s">
        <v>39</v>
      </c>
      <c r="D13" s="7" t="s">
        <v>40</v>
      </c>
      <c r="E13" s="7" t="s">
        <v>41</v>
      </c>
      <c r="F13" s="8" t="n">
        <v>32</v>
      </c>
      <c r="G13" s="7" t="s">
        <v>42</v>
      </c>
      <c r="H13" s="7" t="s">
        <v>43</v>
      </c>
    </row>
    <row r="14" customFormat="false" ht="15" hidden="false" customHeight="true" outlineLevel="0" collapsed="false">
      <c r="B14" s="12"/>
      <c r="C14" s="13" t="s">
        <v>44</v>
      </c>
      <c r="D14" s="12"/>
      <c r="E14" s="12"/>
      <c r="F14" s="14" t="n">
        <f aca="false">SUM(F7:F13)</f>
        <v>261</v>
      </c>
      <c r="G14" s="13" t="s">
        <v>45</v>
      </c>
      <c r="H14" s="12"/>
    </row>
    <row r="17" customFormat="false" ht="21.75" hidden="false" customHeight="true" outlineLevel="0" collapsed="false">
      <c r="B17" s="4" t="s">
        <v>46</v>
      </c>
      <c r="C17" s="4"/>
      <c r="D17" s="4"/>
      <c r="E17" s="4"/>
      <c r="F17" s="4"/>
      <c r="G17" s="4"/>
      <c r="H17" s="4"/>
    </row>
    <row r="19" customFormat="false" ht="15" hidden="false" customHeight="true" outlineLevel="0" collapsed="false">
      <c r="B19" s="15" t="s">
        <v>47</v>
      </c>
      <c r="C19" s="15" t="s">
        <v>48</v>
      </c>
      <c r="D19" s="15" t="s">
        <v>49</v>
      </c>
      <c r="E19" s="15" t="s">
        <v>50</v>
      </c>
    </row>
    <row r="20" customFormat="false" ht="15" hidden="false" customHeight="true" outlineLevel="0" collapsed="false">
      <c r="B20" s="16" t="s">
        <v>51</v>
      </c>
      <c r="C20" s="16"/>
      <c r="D20" s="16"/>
      <c r="E20" s="16"/>
    </row>
    <row r="21" customFormat="false" ht="15" hidden="false" customHeight="true" outlineLevel="0" collapsed="false">
      <c r="B21" s="17" t="s">
        <v>52</v>
      </c>
      <c r="C21" s="18" t="n">
        <v>0.06</v>
      </c>
      <c r="D21" s="19" t="s">
        <v>53</v>
      </c>
      <c r="E21" s="20" t="s">
        <v>54</v>
      </c>
    </row>
    <row r="22" customFormat="false" ht="15" hidden="false" customHeight="true" outlineLevel="0" collapsed="false">
      <c r="B22" s="17" t="s">
        <v>55</v>
      </c>
      <c r="C22" s="18" t="n">
        <v>0.04</v>
      </c>
      <c r="D22" s="19" t="s">
        <v>53</v>
      </c>
      <c r="E22" s="20" t="s">
        <v>56</v>
      </c>
    </row>
    <row r="23" customFormat="false" ht="15" hidden="false" customHeight="true" outlineLevel="0" collapsed="false">
      <c r="B23" s="17" t="s">
        <v>57</v>
      </c>
      <c r="C23" s="18" t="n">
        <v>0.025</v>
      </c>
      <c r="D23" s="19" t="s">
        <v>53</v>
      </c>
      <c r="E23" s="20" t="s">
        <v>58</v>
      </c>
    </row>
    <row r="24" customFormat="false" ht="15" hidden="false" customHeight="true" outlineLevel="0" collapsed="false">
      <c r="B24" s="17" t="s">
        <v>59</v>
      </c>
      <c r="C24" s="18" t="n">
        <v>0.05</v>
      </c>
      <c r="D24" s="19" t="s">
        <v>53</v>
      </c>
      <c r="E24" s="20" t="s">
        <v>60</v>
      </c>
    </row>
    <row r="25" customFormat="false" ht="15" hidden="false" customHeight="true" outlineLevel="0" collapsed="false">
      <c r="B25" s="16" t="s">
        <v>61</v>
      </c>
      <c r="C25" s="16"/>
      <c r="D25" s="16"/>
      <c r="E25" s="16"/>
    </row>
    <row r="26" customFormat="false" ht="15" hidden="false" customHeight="true" outlineLevel="0" collapsed="false">
      <c r="B26" s="17" t="s">
        <v>62</v>
      </c>
      <c r="C26" s="21" t="n">
        <v>49</v>
      </c>
      <c r="D26" s="19" t="s">
        <v>63</v>
      </c>
      <c r="E26" s="20" t="s">
        <v>64</v>
      </c>
    </row>
    <row r="27" customFormat="false" ht="15" hidden="false" customHeight="true" outlineLevel="0" collapsed="false">
      <c r="B27" s="17" t="s">
        <v>65</v>
      </c>
      <c r="C27" s="21" t="n">
        <v>99</v>
      </c>
      <c r="D27" s="19" t="s">
        <v>63</v>
      </c>
      <c r="E27" s="20" t="s">
        <v>66</v>
      </c>
    </row>
    <row r="28" customFormat="false" ht="15" hidden="false" customHeight="true" outlineLevel="0" collapsed="false">
      <c r="B28" s="17" t="s">
        <v>67</v>
      </c>
      <c r="C28" s="18" t="n">
        <v>0.2</v>
      </c>
      <c r="D28" s="19" t="s">
        <v>53</v>
      </c>
      <c r="E28" s="20" t="s">
        <v>68</v>
      </c>
    </row>
    <row r="29" customFormat="false" ht="15" hidden="false" customHeight="true" outlineLevel="0" collapsed="false">
      <c r="B29" s="17" t="s">
        <v>69</v>
      </c>
      <c r="C29" s="18" t="n">
        <v>0.05</v>
      </c>
      <c r="D29" s="19" t="s">
        <v>53</v>
      </c>
      <c r="E29" s="20" t="s">
        <v>70</v>
      </c>
    </row>
    <row r="30" customFormat="false" ht="15" hidden="false" customHeight="true" outlineLevel="0" collapsed="false">
      <c r="B30" s="17" t="s">
        <v>71</v>
      </c>
      <c r="C30" s="22" t="n">
        <f aca="false">(C26*12*C28)+(C27*12*C29)</f>
        <v>177</v>
      </c>
      <c r="D30" s="19" t="s">
        <v>72</v>
      </c>
      <c r="E30" s="20" t="s">
        <v>73</v>
      </c>
    </row>
    <row r="31" customFormat="false" ht="15" hidden="false" customHeight="true" outlineLevel="0" collapsed="false">
      <c r="B31" s="16" t="s">
        <v>74</v>
      </c>
      <c r="C31" s="16"/>
      <c r="D31" s="16"/>
      <c r="E31" s="16"/>
    </row>
    <row r="32" customFormat="false" ht="15" hidden="false" customHeight="true" outlineLevel="0" collapsed="false">
      <c r="B32" s="17" t="s">
        <v>75</v>
      </c>
      <c r="C32" s="21" t="n">
        <v>15</v>
      </c>
      <c r="D32" s="19" t="s">
        <v>76</v>
      </c>
      <c r="E32" s="20" t="s">
        <v>77</v>
      </c>
    </row>
    <row r="33" customFormat="false" ht="15" hidden="false" customHeight="true" outlineLevel="0" collapsed="false">
      <c r="B33" s="17" t="s">
        <v>78</v>
      </c>
      <c r="C33" s="21" t="n">
        <v>300</v>
      </c>
      <c r="D33" s="19" t="s">
        <v>76</v>
      </c>
      <c r="E33" s="20" t="s">
        <v>79</v>
      </c>
    </row>
    <row r="34" customFormat="false" ht="15" hidden="false" customHeight="true" outlineLevel="0" collapsed="false">
      <c r="B34" s="17" t="s">
        <v>80</v>
      </c>
      <c r="C34" s="18" t="n">
        <v>0.4</v>
      </c>
      <c r="D34" s="19" t="s">
        <v>53</v>
      </c>
      <c r="E34" s="20" t="s">
        <v>81</v>
      </c>
    </row>
    <row r="35" customFormat="false" ht="15" hidden="false" customHeight="true" outlineLevel="0" collapsed="false">
      <c r="B35" s="17" t="s">
        <v>82</v>
      </c>
      <c r="C35" s="23" t="n">
        <v>6</v>
      </c>
      <c r="D35" s="19" t="s">
        <v>83</v>
      </c>
      <c r="E35" s="20" t="s">
        <v>84</v>
      </c>
    </row>
    <row r="36" customFormat="false" ht="15" hidden="false" customHeight="true" outlineLevel="0" collapsed="false">
      <c r="B36" s="16" t="s">
        <v>85</v>
      </c>
      <c r="C36" s="16"/>
      <c r="D36" s="16"/>
      <c r="E36" s="16"/>
    </row>
    <row r="37" customFormat="false" ht="15" hidden="false" customHeight="true" outlineLevel="0" collapsed="false">
      <c r="B37" s="17" t="s">
        <v>86</v>
      </c>
      <c r="C37" s="18" t="n">
        <v>0.1</v>
      </c>
      <c r="D37" s="19" t="s">
        <v>53</v>
      </c>
      <c r="E37" s="20" t="s">
        <v>87</v>
      </c>
    </row>
    <row r="38" customFormat="false" ht="15" hidden="false" customHeight="true" outlineLevel="0" collapsed="false">
      <c r="B38" s="17" t="s">
        <v>88</v>
      </c>
      <c r="C38" s="18" t="n">
        <v>0.09</v>
      </c>
      <c r="D38" s="19" t="s">
        <v>53</v>
      </c>
      <c r="E38" s="20"/>
    </row>
    <row r="39" customFormat="false" ht="15" hidden="false" customHeight="true" outlineLevel="0" collapsed="false">
      <c r="B39" s="17" t="s">
        <v>89</v>
      </c>
      <c r="C39" s="18" t="n">
        <v>0.3</v>
      </c>
      <c r="D39" s="19" t="s">
        <v>53</v>
      </c>
      <c r="E39" s="20" t="s">
        <v>90</v>
      </c>
    </row>
    <row r="40" customFormat="false" ht="15" hidden="false" customHeight="true" outlineLevel="0" collapsed="false">
      <c r="B40" s="16" t="s">
        <v>91</v>
      </c>
      <c r="C40" s="16"/>
      <c r="D40" s="16"/>
      <c r="E40" s="16"/>
    </row>
    <row r="41" customFormat="false" ht="15" hidden="false" customHeight="true" outlineLevel="0" collapsed="false">
      <c r="B41" s="17" t="s">
        <v>92</v>
      </c>
      <c r="C41" s="18" t="n">
        <v>0.15</v>
      </c>
      <c r="D41" s="19" t="s">
        <v>53</v>
      </c>
      <c r="E41" s="20" t="s">
        <v>93</v>
      </c>
    </row>
    <row r="42" customFormat="false" ht="15" hidden="false" customHeight="true" outlineLevel="0" collapsed="false">
      <c r="B42" s="17" t="s">
        <v>94</v>
      </c>
      <c r="C42" s="18" t="n">
        <v>0.4</v>
      </c>
      <c r="D42" s="19" t="s">
        <v>53</v>
      </c>
      <c r="E42" s="20" t="s">
        <v>95</v>
      </c>
    </row>
    <row r="43" customFormat="false" ht="15" hidden="false" customHeight="true" outlineLevel="0" collapsed="false">
      <c r="B43" s="17" t="s">
        <v>96</v>
      </c>
      <c r="C43" s="21" t="n">
        <v>4</v>
      </c>
      <c r="D43" s="19" t="s">
        <v>76</v>
      </c>
      <c r="E43" s="20" t="s">
        <v>97</v>
      </c>
    </row>
    <row r="44" customFormat="false" ht="15" hidden="false" customHeight="true" outlineLevel="0" collapsed="false">
      <c r="B44" s="16" t="s">
        <v>98</v>
      </c>
      <c r="C44" s="16"/>
      <c r="D44" s="16"/>
      <c r="E44" s="16"/>
    </row>
    <row r="45" customFormat="false" ht="15" hidden="false" customHeight="true" outlineLevel="0" collapsed="false">
      <c r="B45" s="17" t="s">
        <v>99</v>
      </c>
      <c r="C45" s="23" t="n">
        <v>0.12</v>
      </c>
      <c r="D45" s="19" t="s">
        <v>100</v>
      </c>
      <c r="E45" s="20" t="s">
        <v>101</v>
      </c>
    </row>
    <row r="46" customFormat="false" ht="15" hidden="false" customHeight="true" outlineLevel="0" collapsed="false">
      <c r="B46" s="16" t="s">
        <v>102</v>
      </c>
      <c r="C46" s="16"/>
      <c r="D46" s="16"/>
      <c r="E46" s="16"/>
    </row>
    <row r="47" customFormat="false" ht="15" hidden="false" customHeight="true" outlineLevel="0" collapsed="false">
      <c r="B47" s="17" t="s">
        <v>103</v>
      </c>
      <c r="C47" s="18" t="n">
        <v>0.18</v>
      </c>
      <c r="D47" s="19" t="s">
        <v>53</v>
      </c>
      <c r="E47" s="20" t="s">
        <v>104</v>
      </c>
    </row>
    <row r="48" customFormat="false" ht="15" hidden="false" customHeight="true" outlineLevel="0" collapsed="false">
      <c r="B48" s="17" t="s">
        <v>105</v>
      </c>
      <c r="C48" s="21" t="n">
        <v>25</v>
      </c>
      <c r="D48" s="19" t="s">
        <v>76</v>
      </c>
      <c r="E48" s="20" t="s">
        <v>106</v>
      </c>
    </row>
    <row r="49" customFormat="false" ht="15" hidden="false" customHeight="true" outlineLevel="0" collapsed="false">
      <c r="B49" s="17" t="s">
        <v>107</v>
      </c>
      <c r="C49" s="21" t="n">
        <v>15</v>
      </c>
      <c r="D49" s="19" t="s">
        <v>76</v>
      </c>
      <c r="E49" s="20" t="s">
        <v>108</v>
      </c>
    </row>
    <row r="50" customFormat="false" ht="15" hidden="false" customHeight="true" outlineLevel="0" collapsed="false">
      <c r="B50" s="17" t="s">
        <v>109</v>
      </c>
      <c r="C50" s="18" t="n">
        <v>0.35</v>
      </c>
      <c r="D50" s="19" t="s">
        <v>53</v>
      </c>
      <c r="E50" s="20" t="s">
        <v>90</v>
      </c>
    </row>
  </sheetData>
  <mergeCells count="4">
    <mergeCell ref="B2:H2"/>
    <mergeCell ref="B3:H3"/>
    <mergeCell ref="B5:H5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50"/>
  </cols>
  <sheetData>
    <row r="2" customFormat="false" ht="27.75" hidden="false" customHeight="true" outlineLevel="0" collapsed="false">
      <c r="B2" s="24" t="s">
        <v>110</v>
      </c>
      <c r="C2" s="24"/>
      <c r="D2" s="24"/>
      <c r="E2" s="24"/>
      <c r="F2" s="24"/>
      <c r="G2" s="24"/>
    </row>
    <row r="3" customFormat="false" ht="15" hidden="false" customHeight="false" outlineLevel="0" collapsed="false">
      <c r="B3" s="25" t="s">
        <v>111</v>
      </c>
      <c r="C3" s="25"/>
      <c r="D3" s="25"/>
      <c r="E3" s="25"/>
      <c r="F3" s="25"/>
      <c r="G3" s="25"/>
    </row>
    <row r="5" customFormat="false" ht="21.75" hidden="false" customHeight="true" outlineLevel="0" collapsed="false">
      <c r="B5" s="26" t="s">
        <v>112</v>
      </c>
      <c r="C5" s="26"/>
      <c r="D5" s="26"/>
      <c r="E5" s="26"/>
      <c r="F5" s="26"/>
      <c r="G5" s="26"/>
    </row>
    <row r="6" customFormat="false" ht="31.5" hidden="false" customHeight="true" outlineLevel="0" collapsed="false">
      <c r="B6" s="5" t="s">
        <v>113</v>
      </c>
      <c r="C6" s="5" t="s">
        <v>114</v>
      </c>
      <c r="D6" s="5" t="s">
        <v>115</v>
      </c>
      <c r="E6" s="5" t="s">
        <v>116</v>
      </c>
      <c r="F6" s="5" t="s">
        <v>117</v>
      </c>
      <c r="G6" s="5" t="s">
        <v>50</v>
      </c>
    </row>
    <row r="7" customFormat="false" ht="15" hidden="false" customHeight="false" outlineLevel="0" collapsed="false">
      <c r="B7" s="6" t="s">
        <v>118</v>
      </c>
      <c r="C7" s="27" t="n">
        <v>200</v>
      </c>
      <c r="D7" s="28" t="n">
        <v>320</v>
      </c>
      <c r="E7" s="29" t="n">
        <v>120</v>
      </c>
      <c r="F7" s="30" t="n">
        <v>0.6</v>
      </c>
      <c r="G7" s="31" t="s">
        <v>119</v>
      </c>
    </row>
    <row r="8" customFormat="false" ht="26.85" hidden="false" customHeight="false" outlineLevel="0" collapsed="false">
      <c r="B8" s="9" t="s">
        <v>120</v>
      </c>
      <c r="C8" s="32" t="n">
        <v>0.12</v>
      </c>
      <c r="D8" s="33" t="n">
        <v>0.158</v>
      </c>
      <c r="E8" s="34" t="n">
        <v>0.038</v>
      </c>
      <c r="F8" s="35" t="n">
        <v>0.316666666666667</v>
      </c>
      <c r="G8" s="36" t="s">
        <v>121</v>
      </c>
    </row>
    <row r="9" customFormat="false" ht="15" hidden="false" customHeight="false" outlineLevel="0" collapsed="false">
      <c r="B9" s="6" t="s">
        <v>122</v>
      </c>
      <c r="C9" s="27" t="n">
        <v>196</v>
      </c>
      <c r="D9" s="28" t="n">
        <v>476</v>
      </c>
      <c r="E9" s="29" t="n">
        <v>280</v>
      </c>
      <c r="F9" s="30" t="n">
        <v>1.42857142857143</v>
      </c>
      <c r="G9" s="31" t="s">
        <v>123</v>
      </c>
    </row>
    <row r="10" customFormat="false" ht="15" hidden="false" customHeight="false" outlineLevel="0" collapsed="false">
      <c r="B10" s="9" t="s">
        <v>124</v>
      </c>
      <c r="C10" s="32" t="n">
        <v>0.786</v>
      </c>
      <c r="D10" s="37" t="n">
        <v>0.76</v>
      </c>
      <c r="E10" s="34" t="n">
        <v>-0.026</v>
      </c>
      <c r="F10" s="35" t="n">
        <v>-0.0330788804071247</v>
      </c>
      <c r="G10" s="36" t="s">
        <v>125</v>
      </c>
    </row>
    <row r="11" customFormat="false" ht="15" hidden="false" customHeight="false" outlineLevel="0" collapsed="false">
      <c r="B11" s="6" t="s">
        <v>126</v>
      </c>
      <c r="C11" s="27" t="n">
        <v>154</v>
      </c>
      <c r="D11" s="28" t="n">
        <v>362</v>
      </c>
      <c r="E11" s="29" t="n">
        <v>208</v>
      </c>
      <c r="F11" s="30" t="n">
        <v>1.35064935064935</v>
      </c>
      <c r="G11" s="31" t="s">
        <v>127</v>
      </c>
    </row>
    <row r="12" customFormat="false" ht="15" hidden="false" customHeight="false" outlineLevel="0" collapsed="false">
      <c r="B12" s="9" t="s">
        <v>128</v>
      </c>
      <c r="C12" s="32" t="n">
        <v>0.4</v>
      </c>
      <c r="D12" s="33" t="n">
        <v>0.28</v>
      </c>
      <c r="E12" s="34" t="n">
        <v>-0.12</v>
      </c>
      <c r="F12" s="35" t="n">
        <v>-0.3</v>
      </c>
      <c r="G12" s="36" t="s">
        <v>129</v>
      </c>
    </row>
    <row r="13" customFormat="false" ht="15" hidden="false" customHeight="false" outlineLevel="0" collapsed="false">
      <c r="B13" s="6" t="s">
        <v>130</v>
      </c>
      <c r="C13" s="27" t="n">
        <v>441</v>
      </c>
      <c r="D13" s="28" t="n">
        <v>1294</v>
      </c>
      <c r="E13" s="29" t="n">
        <v>853</v>
      </c>
      <c r="F13" s="30" t="n">
        <v>1.93424036281179</v>
      </c>
      <c r="G13" s="31" t="s">
        <v>131</v>
      </c>
    </row>
    <row r="14" customFormat="false" ht="15" hidden="false" customHeight="false" outlineLevel="0" collapsed="false">
      <c r="B14" s="9" t="s">
        <v>132</v>
      </c>
      <c r="C14" s="38" t="n">
        <v>86</v>
      </c>
      <c r="D14" s="39" t="n">
        <v>86</v>
      </c>
      <c r="E14" s="40" t="n">
        <v>0</v>
      </c>
      <c r="F14" s="35" t="n">
        <v>0</v>
      </c>
      <c r="G14" s="36" t="s">
        <v>133</v>
      </c>
    </row>
    <row r="15" customFormat="false" ht="15" hidden="false" customHeight="false" outlineLevel="0" collapsed="false">
      <c r="B15" s="6" t="s">
        <v>134</v>
      </c>
      <c r="C15" s="41" t="n">
        <v>5.1</v>
      </c>
      <c r="D15" s="42" t="n">
        <v>15</v>
      </c>
      <c r="E15" s="43" t="n">
        <v>9.9</v>
      </c>
      <c r="F15" s="30" t="n">
        <v>1.94117647058824</v>
      </c>
      <c r="G15" s="31" t="s">
        <v>135</v>
      </c>
    </row>
    <row r="16" customFormat="false" ht="15" hidden="false" customHeight="false" outlineLevel="0" collapsed="false">
      <c r="B16" s="9" t="s">
        <v>136</v>
      </c>
      <c r="C16" s="44" t="n">
        <v>6.7</v>
      </c>
      <c r="D16" s="45" t="n">
        <v>2.9</v>
      </c>
      <c r="E16" s="46" t="n">
        <v>-3.8</v>
      </c>
      <c r="F16" s="35" t="n">
        <v>-0.567164179104478</v>
      </c>
      <c r="G16" s="36" t="s">
        <v>137</v>
      </c>
    </row>
    <row r="17" customFormat="false" ht="15" hidden="false" customHeight="false" outlineLevel="0" collapsed="false">
      <c r="B17" s="6" t="s">
        <v>138</v>
      </c>
      <c r="C17" s="47" t="n">
        <v>51000</v>
      </c>
      <c r="D17" s="48" t="n">
        <v>21000</v>
      </c>
      <c r="E17" s="49" t="n">
        <v>-30000</v>
      </c>
      <c r="F17" s="30" t="n">
        <v>-0.588235294117647</v>
      </c>
      <c r="G17" s="31" t="s">
        <v>139</v>
      </c>
    </row>
    <row r="18" customFormat="false" ht="15" hidden="false" customHeight="false" outlineLevel="0" collapsed="false">
      <c r="B18" s="9" t="s">
        <v>140</v>
      </c>
      <c r="C18" s="38" t="n">
        <v>83000000</v>
      </c>
      <c r="D18" s="28" t="n">
        <v>53000000</v>
      </c>
      <c r="E18" s="40" t="n">
        <v>-30000000</v>
      </c>
      <c r="F18" s="35" t="n">
        <v>-0.36144578313253</v>
      </c>
      <c r="G18" s="36" t="s">
        <v>141</v>
      </c>
    </row>
    <row r="19" customFormat="false" ht="15" hidden="false" customHeight="false" outlineLevel="0" collapsed="false">
      <c r="B19" s="6" t="s">
        <v>142</v>
      </c>
      <c r="C19" s="50" t="n">
        <v>17</v>
      </c>
      <c r="D19" s="45" t="n">
        <v>13</v>
      </c>
      <c r="E19" s="51" t="n">
        <v>-4</v>
      </c>
      <c r="F19" s="30" t="n">
        <v>-0.235294117647059</v>
      </c>
      <c r="G19" s="31" t="s">
        <v>143</v>
      </c>
    </row>
    <row r="22" customFormat="false" ht="15" hidden="false" customHeight="false" outlineLevel="0" collapsed="false">
      <c r="B22" s="26" t="s">
        <v>144</v>
      </c>
      <c r="C22" s="26"/>
      <c r="D22" s="26"/>
      <c r="E22" s="26"/>
      <c r="F22" s="26"/>
      <c r="G22" s="26"/>
    </row>
    <row r="23" customFormat="false" ht="27.75" hidden="false" customHeight="true" outlineLevel="0" collapsed="false">
      <c r="B23" s="52" t="s">
        <v>145</v>
      </c>
      <c r="C23" s="52"/>
      <c r="D23" s="52"/>
      <c r="E23" s="52"/>
      <c r="F23" s="52"/>
      <c r="G23" s="52"/>
    </row>
    <row r="24" customFormat="false" ht="27.75" hidden="false" customHeight="true" outlineLevel="0" collapsed="false">
      <c r="B24" s="52" t="s">
        <v>146</v>
      </c>
      <c r="C24" s="52"/>
      <c r="D24" s="52"/>
      <c r="E24" s="52"/>
      <c r="F24" s="52"/>
      <c r="G24" s="52"/>
    </row>
    <row r="25" customFormat="false" ht="27.75" hidden="false" customHeight="true" outlineLevel="0" collapsed="false">
      <c r="B25" s="52" t="s">
        <v>147</v>
      </c>
      <c r="C25" s="52"/>
      <c r="D25" s="52"/>
      <c r="E25" s="52"/>
      <c r="F25" s="52"/>
      <c r="G25" s="52"/>
    </row>
    <row r="26" customFormat="false" ht="27.75" hidden="false" customHeight="true" outlineLevel="0" collapsed="false">
      <c r="B26" s="52" t="s">
        <v>148</v>
      </c>
      <c r="C26" s="52"/>
      <c r="D26" s="52"/>
      <c r="E26" s="52"/>
      <c r="F26" s="52"/>
      <c r="G26" s="52"/>
    </row>
    <row r="27" customFormat="false" ht="27.75" hidden="false" customHeight="true" outlineLevel="0" collapsed="false">
      <c r="B27" s="52" t="s">
        <v>149</v>
      </c>
      <c r="C27" s="52"/>
      <c r="D27" s="52"/>
      <c r="E27" s="52"/>
      <c r="F27" s="52"/>
      <c r="G27" s="52"/>
    </row>
    <row r="28" customFormat="false" ht="27.75" hidden="false" customHeight="true" outlineLevel="0" collapsed="false">
      <c r="B28" s="52" t="s">
        <v>150</v>
      </c>
      <c r="C28" s="52"/>
      <c r="D28" s="52"/>
      <c r="E28" s="52"/>
      <c r="F28" s="52"/>
      <c r="G28" s="52"/>
    </row>
  </sheetData>
  <mergeCells count="10">
    <mergeCell ref="B2:G2"/>
    <mergeCell ref="B3:G3"/>
    <mergeCell ref="B5:G5"/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36"/>
  </cols>
  <sheetData>
    <row r="2" customFormat="false" ht="27.75" hidden="false" customHeight="true" outlineLevel="0" collapsed="false">
      <c r="B2" s="24" t="s">
        <v>151</v>
      </c>
      <c r="C2" s="24"/>
      <c r="D2" s="24"/>
      <c r="E2" s="24"/>
      <c r="F2" s="24"/>
      <c r="G2" s="24"/>
    </row>
    <row r="5" customFormat="false" ht="21.75" hidden="false" customHeight="true" outlineLevel="0" collapsed="false">
      <c r="B5" s="26" t="s">
        <v>152</v>
      </c>
      <c r="C5" s="26"/>
      <c r="D5" s="26"/>
      <c r="E5" s="26"/>
      <c r="F5" s="26"/>
      <c r="G5" s="26"/>
    </row>
    <row r="6" customFormat="false" ht="36" hidden="false" customHeight="true" outlineLevel="0" collapsed="false">
      <c r="B6" s="5" t="s">
        <v>153</v>
      </c>
      <c r="C6" s="5" t="s">
        <v>154</v>
      </c>
      <c r="D6" s="5" t="s">
        <v>155</v>
      </c>
      <c r="E6" s="5" t="s">
        <v>156</v>
      </c>
      <c r="F6" s="5" t="s">
        <v>157</v>
      </c>
      <c r="G6" s="5" t="s">
        <v>158</v>
      </c>
      <c r="H6" s="5" t="s">
        <v>159</v>
      </c>
    </row>
    <row r="7" customFormat="false" ht="15" hidden="false" customHeight="false" outlineLevel="0" collapsed="false">
      <c r="B7" s="6" t="s">
        <v>160</v>
      </c>
      <c r="C7" s="27" t="n">
        <v>196</v>
      </c>
      <c r="D7" s="47" t="n">
        <v>46938.7755102041</v>
      </c>
      <c r="E7" s="27" t="n">
        <v>76666666.6666667</v>
      </c>
      <c r="F7" s="53" t="n">
        <v>0.391156462585034</v>
      </c>
      <c r="G7" s="53" t="n">
        <v>0.11734693877551</v>
      </c>
      <c r="H7" s="54" t="s">
        <v>161</v>
      </c>
    </row>
    <row r="8" customFormat="false" ht="15" hidden="false" customHeight="false" outlineLevel="0" collapsed="false">
      <c r="B8" s="9" t="s">
        <v>162</v>
      </c>
      <c r="C8" s="38" t="n">
        <v>284</v>
      </c>
      <c r="D8" s="55" t="n">
        <v>32394.3661971831</v>
      </c>
      <c r="E8" s="38" t="n">
        <v>58227848.1012658</v>
      </c>
      <c r="F8" s="32" t="n">
        <v>0.269953051643193</v>
      </c>
      <c r="G8" s="32" t="n">
        <v>0.0809859154929578</v>
      </c>
      <c r="H8" s="9" t="s">
        <v>163</v>
      </c>
    </row>
    <row r="9" customFormat="false" ht="15" hidden="false" customHeight="false" outlineLevel="0" collapsed="false">
      <c r="B9" s="6" t="s">
        <v>164</v>
      </c>
      <c r="C9" s="27" t="n">
        <v>372</v>
      </c>
      <c r="D9" s="47" t="n">
        <v>24731.1827956989</v>
      </c>
      <c r="E9" s="27" t="n">
        <v>58227848.1012658</v>
      </c>
      <c r="F9" s="53" t="n">
        <v>0.206093189964158</v>
      </c>
      <c r="G9" s="53" t="n">
        <v>0.0618279569892473</v>
      </c>
      <c r="H9" s="56" t="s">
        <v>165</v>
      </c>
    </row>
    <row r="10" customFormat="false" ht="15" hidden="false" customHeight="false" outlineLevel="0" collapsed="false">
      <c r="B10" s="9" t="s">
        <v>166</v>
      </c>
      <c r="C10" s="38" t="n">
        <v>421</v>
      </c>
      <c r="D10" s="55" t="n">
        <v>21852.7315914489</v>
      </c>
      <c r="E10" s="38" t="n">
        <v>58227848.1012658</v>
      </c>
      <c r="F10" s="32" t="n">
        <v>0.182106096595408</v>
      </c>
      <c r="G10" s="32" t="n">
        <v>0.0546318289786223</v>
      </c>
      <c r="H10" s="56" t="s">
        <v>167</v>
      </c>
    </row>
    <row r="11" customFormat="false" ht="15" hidden="false" customHeight="false" outlineLevel="0" collapsed="false">
      <c r="B11" s="6" t="s">
        <v>168</v>
      </c>
      <c r="C11" s="27" t="n">
        <v>476</v>
      </c>
      <c r="D11" s="47" t="n">
        <v>19327.731092437</v>
      </c>
      <c r="E11" s="27" t="n">
        <v>58227848.1012658</v>
      </c>
      <c r="F11" s="53" t="n">
        <v>0.161064425770308</v>
      </c>
      <c r="G11" s="53" t="n">
        <v>0.0483193277310924</v>
      </c>
      <c r="H11" s="56" t="s">
        <v>169</v>
      </c>
    </row>
    <row r="14" customFormat="false" ht="15" hidden="false" customHeight="false" outlineLevel="0" collapsed="false">
      <c r="B14" s="26" t="s">
        <v>170</v>
      </c>
      <c r="C14" s="26"/>
      <c r="D14" s="26"/>
      <c r="E14" s="26"/>
      <c r="F14" s="26"/>
      <c r="G14" s="26"/>
      <c r="H14" s="26"/>
    </row>
    <row r="15" customFormat="false" ht="27.75" hidden="false" customHeight="true" outlineLevel="0" collapsed="false">
      <c r="B15" s="52" t="s">
        <v>171</v>
      </c>
      <c r="C15" s="52"/>
      <c r="D15" s="52"/>
      <c r="E15" s="52"/>
      <c r="F15" s="52"/>
      <c r="G15" s="52"/>
      <c r="H15" s="52"/>
    </row>
    <row r="16" customFormat="false" ht="27.75" hidden="false" customHeight="true" outlineLevel="0" collapsed="false">
      <c r="B16" s="52" t="s">
        <v>172</v>
      </c>
      <c r="C16" s="52"/>
      <c r="D16" s="52"/>
      <c r="E16" s="52"/>
      <c r="F16" s="52"/>
      <c r="G16" s="52"/>
      <c r="H16" s="52"/>
    </row>
    <row r="17" customFormat="false" ht="27.75" hidden="false" customHeight="true" outlineLevel="0" collapsed="false">
      <c r="B17" s="52" t="s">
        <v>173</v>
      </c>
      <c r="C17" s="52"/>
      <c r="D17" s="52"/>
      <c r="E17" s="52"/>
      <c r="F17" s="52"/>
      <c r="G17" s="52"/>
      <c r="H17" s="52"/>
    </row>
    <row r="18" customFormat="false" ht="27.75" hidden="false" customHeight="true" outlineLevel="0" collapsed="false">
      <c r="B18" s="52" t="s">
        <v>174</v>
      </c>
      <c r="C18" s="52"/>
      <c r="D18" s="52"/>
      <c r="E18" s="52"/>
      <c r="F18" s="52"/>
      <c r="G18" s="52"/>
      <c r="H18" s="52"/>
    </row>
  </sheetData>
  <mergeCells count="7">
    <mergeCell ref="B2:G2"/>
    <mergeCell ref="B5:G5"/>
    <mergeCell ref="B14:H14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32"/>
  </cols>
  <sheetData>
    <row r="2" customFormat="false" ht="27.75" hidden="false" customHeight="true" outlineLevel="0" collapsed="false">
      <c r="B2" s="24" t="s">
        <v>175</v>
      </c>
      <c r="C2" s="24"/>
      <c r="D2" s="24"/>
      <c r="E2" s="24"/>
      <c r="F2" s="24"/>
      <c r="G2" s="24"/>
      <c r="H2" s="24"/>
    </row>
    <row r="5" customFormat="false" ht="21.75" hidden="false" customHeight="true" outlineLevel="0" collapsed="false">
      <c r="B5" s="26" t="s">
        <v>176</v>
      </c>
      <c r="C5" s="26"/>
      <c r="D5" s="26"/>
      <c r="E5" s="26"/>
      <c r="F5" s="26"/>
      <c r="G5" s="26"/>
      <c r="H5" s="26"/>
    </row>
    <row r="6" customFormat="false" ht="36" hidden="false" customHeight="true" outlineLevel="0" collapsed="false">
      <c r="B6" s="5" t="s">
        <v>4</v>
      </c>
      <c r="C6" s="5" t="s">
        <v>177</v>
      </c>
      <c r="D6" s="5" t="s">
        <v>178</v>
      </c>
      <c r="E6" s="5" t="s">
        <v>179</v>
      </c>
      <c r="F6" s="5" t="s">
        <v>180</v>
      </c>
      <c r="G6" s="5" t="s">
        <v>181</v>
      </c>
      <c r="H6" s="5" t="s">
        <v>182</v>
      </c>
    </row>
    <row r="7" customFormat="false" ht="48" hidden="false" customHeight="true" outlineLevel="0" collapsed="false">
      <c r="B7" s="57" t="s">
        <v>183</v>
      </c>
      <c r="C7" s="58" t="s">
        <v>184</v>
      </c>
      <c r="D7" s="58" t="s">
        <v>184</v>
      </c>
      <c r="E7" s="58" t="s">
        <v>185</v>
      </c>
      <c r="F7" s="58" t="s">
        <v>186</v>
      </c>
      <c r="G7" s="58" t="s">
        <v>187</v>
      </c>
      <c r="H7" s="59" t="s">
        <v>188</v>
      </c>
    </row>
    <row r="8" customFormat="false" ht="48" hidden="false" customHeight="true" outlineLevel="0" collapsed="false">
      <c r="B8" s="60" t="s">
        <v>189</v>
      </c>
      <c r="C8" s="61" t="s">
        <v>190</v>
      </c>
      <c r="D8" s="61" t="s">
        <v>191</v>
      </c>
      <c r="E8" s="61" t="s">
        <v>192</v>
      </c>
      <c r="F8" s="61" t="s">
        <v>193</v>
      </c>
      <c r="G8" s="61" t="s">
        <v>194</v>
      </c>
      <c r="H8" s="62" t="s">
        <v>195</v>
      </c>
    </row>
    <row r="9" customFormat="false" ht="48" hidden="false" customHeight="true" outlineLevel="0" collapsed="false">
      <c r="B9" s="57" t="s">
        <v>196</v>
      </c>
      <c r="C9" s="58" t="s">
        <v>197</v>
      </c>
      <c r="D9" s="58" t="s">
        <v>191</v>
      </c>
      <c r="E9" s="58" t="s">
        <v>198</v>
      </c>
      <c r="F9" s="58" t="s">
        <v>193</v>
      </c>
      <c r="G9" s="58" t="s">
        <v>199</v>
      </c>
      <c r="H9" s="59" t="s">
        <v>200</v>
      </c>
    </row>
    <row r="10" customFormat="false" ht="48" hidden="false" customHeight="true" outlineLevel="0" collapsed="false">
      <c r="B10" s="60" t="s">
        <v>201</v>
      </c>
      <c r="C10" s="61" t="s">
        <v>202</v>
      </c>
      <c r="D10" s="61" t="s">
        <v>203</v>
      </c>
      <c r="E10" s="61" t="s">
        <v>204</v>
      </c>
      <c r="F10" s="61" t="s">
        <v>205</v>
      </c>
      <c r="G10" s="61" t="s">
        <v>206</v>
      </c>
      <c r="H10" s="62" t="s">
        <v>207</v>
      </c>
    </row>
    <row r="11" customFormat="false" ht="48" hidden="false" customHeight="true" outlineLevel="0" collapsed="false">
      <c r="B11" s="57" t="s">
        <v>208</v>
      </c>
      <c r="C11" s="58" t="s">
        <v>209</v>
      </c>
      <c r="D11" s="58" t="s">
        <v>210</v>
      </c>
      <c r="E11" s="58" t="s">
        <v>211</v>
      </c>
      <c r="F11" s="58" t="s">
        <v>193</v>
      </c>
      <c r="G11" s="58" t="s">
        <v>212</v>
      </c>
      <c r="H11" s="59" t="s">
        <v>213</v>
      </c>
    </row>
    <row r="12" customFormat="false" ht="48" hidden="false" customHeight="true" outlineLevel="0" collapsed="false">
      <c r="B12" s="60" t="s">
        <v>214</v>
      </c>
      <c r="C12" s="61" t="s">
        <v>210</v>
      </c>
      <c r="D12" s="61" t="s">
        <v>215</v>
      </c>
      <c r="E12" s="61" t="s">
        <v>216</v>
      </c>
      <c r="F12" s="61" t="s">
        <v>217</v>
      </c>
      <c r="G12" s="61" t="s">
        <v>218</v>
      </c>
      <c r="H12" s="62" t="s">
        <v>219</v>
      </c>
    </row>
    <row r="13" customFormat="false" ht="48" hidden="false" customHeight="true" outlineLevel="0" collapsed="false">
      <c r="B13" s="57" t="s">
        <v>220</v>
      </c>
      <c r="C13" s="58" t="s">
        <v>221</v>
      </c>
      <c r="D13" s="58" t="s">
        <v>222</v>
      </c>
      <c r="E13" s="58" t="s">
        <v>223</v>
      </c>
      <c r="F13" s="58" t="s">
        <v>224</v>
      </c>
      <c r="G13" s="58" t="s">
        <v>225</v>
      </c>
      <c r="H13" s="59" t="s">
        <v>226</v>
      </c>
    </row>
    <row r="14" customFormat="false" ht="48" hidden="false" customHeight="true" outlineLevel="0" collapsed="false">
      <c r="B14" s="60" t="s">
        <v>227</v>
      </c>
      <c r="C14" s="61" t="s">
        <v>215</v>
      </c>
      <c r="D14" s="61" t="s">
        <v>228</v>
      </c>
      <c r="E14" s="61" t="s">
        <v>229</v>
      </c>
      <c r="F14" s="61" t="s">
        <v>230</v>
      </c>
      <c r="G14" s="61" t="s">
        <v>231</v>
      </c>
      <c r="H14" s="62" t="s">
        <v>232</v>
      </c>
    </row>
    <row r="17" customFormat="false" ht="15" hidden="false" customHeight="false" outlineLevel="0" collapsed="false">
      <c r="B17" s="26" t="s">
        <v>233</v>
      </c>
      <c r="C17" s="26"/>
      <c r="D17" s="26"/>
      <c r="E17" s="26"/>
      <c r="F17" s="26"/>
      <c r="G17" s="26"/>
      <c r="H17" s="26"/>
    </row>
    <row r="18" customFormat="false" ht="30" hidden="false" customHeight="true" outlineLevel="0" collapsed="false">
      <c r="B18" s="52" t="s">
        <v>234</v>
      </c>
      <c r="C18" s="52"/>
      <c r="D18" s="52"/>
      <c r="E18" s="52"/>
      <c r="F18" s="52"/>
      <c r="G18" s="52"/>
      <c r="H18" s="52"/>
    </row>
    <row r="19" customFormat="false" ht="30" hidden="false" customHeight="true" outlineLevel="0" collapsed="false">
      <c r="B19" s="52" t="s">
        <v>235</v>
      </c>
      <c r="C19" s="52"/>
      <c r="D19" s="52"/>
      <c r="E19" s="52"/>
      <c r="F19" s="52"/>
      <c r="G19" s="52"/>
      <c r="H19" s="52"/>
    </row>
    <row r="20" customFormat="false" ht="30" hidden="false" customHeight="true" outlineLevel="0" collapsed="false">
      <c r="B20" s="52" t="s">
        <v>236</v>
      </c>
      <c r="C20" s="52"/>
      <c r="D20" s="52"/>
      <c r="E20" s="52"/>
      <c r="F20" s="52"/>
      <c r="G20" s="52"/>
      <c r="H20" s="52"/>
    </row>
    <row r="21" customFormat="false" ht="30" hidden="false" customHeight="true" outlineLevel="0" collapsed="false">
      <c r="B21" s="52" t="s">
        <v>237</v>
      </c>
      <c r="C21" s="52"/>
      <c r="D21" s="52"/>
      <c r="E21" s="52"/>
      <c r="F21" s="52"/>
      <c r="G21" s="52"/>
      <c r="H21" s="52"/>
    </row>
  </sheetData>
  <mergeCells count="7">
    <mergeCell ref="B2:H2"/>
    <mergeCell ref="B5:H5"/>
    <mergeCell ref="B17:H17"/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30"/>
    <col collapsed="false" customWidth="true" hidden="false" outlineLevel="0" max="5" min="5" style="1" width="35"/>
    <col collapsed="false" customWidth="true" hidden="false" outlineLevel="0" max="6" min="6" style="1" width="20"/>
    <col collapsed="false" customWidth="true" hidden="false" outlineLevel="0" max="7" min="7" style="1" width="14"/>
  </cols>
  <sheetData>
    <row r="2" customFormat="false" ht="27.75" hidden="false" customHeight="true" outlineLevel="0" collapsed="false">
      <c r="B2" s="2" t="s">
        <v>238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239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240</v>
      </c>
      <c r="C5" s="4"/>
      <c r="D5" s="4"/>
      <c r="E5" s="4"/>
      <c r="F5" s="4"/>
      <c r="G5" s="4"/>
    </row>
    <row r="6" customFormat="false" ht="30" hidden="false" customHeight="true" outlineLevel="0" collapsed="false">
      <c r="B6" s="63" t="s">
        <v>241</v>
      </c>
      <c r="C6" s="63" t="s">
        <v>242</v>
      </c>
      <c r="D6" s="63" t="s">
        <v>243</v>
      </c>
      <c r="E6" s="63" t="s">
        <v>244</v>
      </c>
      <c r="F6" s="63" t="s">
        <v>245</v>
      </c>
      <c r="G6" s="63" t="s">
        <v>246</v>
      </c>
    </row>
    <row r="7" customFormat="false" ht="15" hidden="false" customHeight="true" outlineLevel="0" collapsed="false">
      <c r="B7" s="64" t="s">
        <v>247</v>
      </c>
      <c r="C7" s="65" t="s">
        <v>248</v>
      </c>
      <c r="D7" s="66" t="s">
        <v>249</v>
      </c>
      <c r="E7" s="66" t="s">
        <v>250</v>
      </c>
      <c r="F7" s="67" t="n">
        <f aca="false">250*6*0.08</f>
        <v>120</v>
      </c>
      <c r="G7" s="68" t="n">
        <f aca="false">F7/F16</f>
        <v>0.22691173133651</v>
      </c>
    </row>
    <row r="8" customFormat="false" ht="15" hidden="false" customHeight="true" outlineLevel="0" collapsed="false">
      <c r="B8" s="69" t="s">
        <v>251</v>
      </c>
      <c r="C8" s="19" t="s">
        <v>10</v>
      </c>
      <c r="D8" s="20" t="s">
        <v>252</v>
      </c>
      <c r="E8" s="20" t="s">
        <v>253</v>
      </c>
      <c r="F8" s="70" t="n">
        <f aca="false">250*6*0.05</f>
        <v>75</v>
      </c>
      <c r="G8" s="71" t="n">
        <f aca="false">F8/F16</f>
        <v>0.141819832085319</v>
      </c>
    </row>
    <row r="9" customFormat="false" ht="15" hidden="false" customHeight="true" outlineLevel="0" collapsed="false">
      <c r="B9" s="64" t="s">
        <v>254</v>
      </c>
      <c r="C9" s="65" t="s">
        <v>255</v>
      </c>
      <c r="D9" s="66" t="s">
        <v>256</v>
      </c>
      <c r="E9" s="66" t="s">
        <v>257</v>
      </c>
      <c r="F9" s="67" t="n">
        <f aca="false">(0.2*49*12)+(0.05*99*12)</f>
        <v>177</v>
      </c>
      <c r="G9" s="68" t="n">
        <f aca="false">F9/F16</f>
        <v>0.334694803721352</v>
      </c>
    </row>
    <row r="10" customFormat="false" ht="15" hidden="false" customHeight="true" outlineLevel="0" collapsed="false">
      <c r="B10" s="69" t="s">
        <v>258</v>
      </c>
      <c r="C10" s="19" t="s">
        <v>259</v>
      </c>
      <c r="D10" s="20" t="s">
        <v>260</v>
      </c>
      <c r="E10" s="20" t="s">
        <v>261</v>
      </c>
      <c r="F10" s="70" t="n">
        <f aca="false">15*6*0.4</f>
        <v>36</v>
      </c>
      <c r="G10" s="71" t="n">
        <f aca="false">F10/F16</f>
        <v>0.068073519400953</v>
      </c>
    </row>
    <row r="11" customFormat="false" ht="15" hidden="false" customHeight="true" outlineLevel="0" collapsed="false">
      <c r="B11" s="64" t="s">
        <v>262</v>
      </c>
      <c r="C11" s="65" t="s">
        <v>263</v>
      </c>
      <c r="D11" s="66" t="s">
        <v>264</v>
      </c>
      <c r="E11" s="66" t="s">
        <v>265</v>
      </c>
      <c r="F11" s="67" t="n">
        <f aca="false">(0.1-0.08)*250*6*0.3</f>
        <v>9</v>
      </c>
      <c r="G11" s="68" t="n">
        <f aca="false">F11/F16</f>
        <v>0.0170183798502383</v>
      </c>
    </row>
    <row r="12" customFormat="false" ht="15" hidden="false" customHeight="true" outlineLevel="0" collapsed="false">
      <c r="B12" s="69" t="s">
        <v>266</v>
      </c>
      <c r="C12" s="19" t="s">
        <v>267</v>
      </c>
      <c r="D12" s="20" t="s">
        <v>268</v>
      </c>
      <c r="E12" s="20" t="s">
        <v>269</v>
      </c>
      <c r="F12" s="70" t="n">
        <f aca="false">250*6*0.15*0.4*0.08</f>
        <v>7.2</v>
      </c>
      <c r="G12" s="71" t="n">
        <f aca="false">F12/F16</f>
        <v>0.0136147038801906</v>
      </c>
    </row>
    <row r="13" customFormat="false" ht="15" hidden="false" customHeight="true" outlineLevel="0" collapsed="false">
      <c r="B13" s="64" t="s">
        <v>270</v>
      </c>
      <c r="C13" s="65" t="s">
        <v>271</v>
      </c>
      <c r="D13" s="66" t="s">
        <v>272</v>
      </c>
      <c r="E13" s="66" t="s">
        <v>273</v>
      </c>
      <c r="F13" s="67" t="n">
        <f aca="false">((25+15)*6*0.35)+(80*6*0.35*0.18)</f>
        <v>114.24</v>
      </c>
      <c r="G13" s="68" t="n">
        <f aca="false">F13/F16</f>
        <v>0.216019968232358</v>
      </c>
    </row>
    <row r="14" customFormat="false" ht="15" hidden="false" customHeight="true" outlineLevel="0" collapsed="false">
      <c r="B14" s="69" t="s">
        <v>274</v>
      </c>
      <c r="C14" s="19" t="s">
        <v>275</v>
      </c>
      <c r="D14" s="20" t="s">
        <v>276</v>
      </c>
      <c r="E14" s="20" t="s">
        <v>277</v>
      </c>
      <c r="F14" s="70" t="n">
        <f aca="false">0</f>
        <v>0</v>
      </c>
      <c r="G14" s="71" t="n">
        <f aca="false">F14/F16</f>
        <v>0</v>
      </c>
    </row>
    <row r="15" customFormat="false" ht="15" hidden="false" customHeight="true" outlineLevel="0" collapsed="false">
      <c r="B15" s="69" t="s">
        <v>278</v>
      </c>
      <c r="C15" s="19" t="s">
        <v>279</v>
      </c>
      <c r="D15" s="72"/>
      <c r="E15" s="72"/>
      <c r="F15" s="73" t="n">
        <f aca="false">-4*0.4*6</f>
        <v>-9.6</v>
      </c>
      <c r="G15" s="72"/>
    </row>
    <row r="16" customFormat="false" ht="15" hidden="false" customHeight="true" outlineLevel="0" collapsed="false">
      <c r="B16" s="13" t="s">
        <v>280</v>
      </c>
      <c r="C16" s="12"/>
      <c r="D16" s="12"/>
      <c r="E16" s="12"/>
      <c r="F16" s="74" t="n">
        <f aca="false">SUM(F7:F15)</f>
        <v>528.84</v>
      </c>
      <c r="G16" s="13" t="s">
        <v>281</v>
      </c>
    </row>
    <row r="19" customFormat="false" ht="15" hidden="false" customHeight="true" outlineLevel="0" collapsed="false">
      <c r="B19" s="4" t="s">
        <v>282</v>
      </c>
      <c r="C19" s="4"/>
      <c r="D19" s="4"/>
      <c r="E19" s="4"/>
      <c r="F19" s="4"/>
      <c r="G19" s="4"/>
    </row>
    <row r="21" customFormat="false" ht="15" hidden="false" customHeight="true" outlineLevel="0" collapsed="false">
      <c r="B21" s="75" t="s">
        <v>283</v>
      </c>
      <c r="C21" s="75" t="s">
        <v>284</v>
      </c>
      <c r="D21" s="75" t="s">
        <v>285</v>
      </c>
      <c r="E21" s="75" t="s">
        <v>286</v>
      </c>
      <c r="F21" s="75" t="s">
        <v>287</v>
      </c>
    </row>
    <row r="22" customFormat="false" ht="15" hidden="false" customHeight="true" outlineLevel="0" collapsed="false">
      <c r="B22" s="76" t="s">
        <v>288</v>
      </c>
      <c r="C22" s="77" t="n">
        <v>196</v>
      </c>
      <c r="D22" s="67" t="n">
        <f aca="false">F16</f>
        <v>528.84</v>
      </c>
      <c r="E22" s="77" t="n">
        <f aca="false">D22-C22</f>
        <v>332.84</v>
      </c>
      <c r="F22" s="68" t="n">
        <f aca="false">IFERROR((D22-C22)/C22,0)</f>
        <v>1.69816326530612</v>
      </c>
    </row>
    <row r="23" customFormat="false" ht="15" hidden="false" customHeight="true" outlineLevel="0" collapsed="false">
      <c r="B23" s="78" t="s">
        <v>289</v>
      </c>
      <c r="C23" s="71" t="n">
        <v>0.12</v>
      </c>
      <c r="D23" s="18" t="n">
        <v>0.22</v>
      </c>
      <c r="E23" s="71" t="n">
        <f aca="false">D23-C23</f>
        <v>0.1</v>
      </c>
      <c r="F23" s="71" t="n">
        <f aca="false">IFERROR((D23-C23)/C23,0)</f>
        <v>0.833333333333333</v>
      </c>
    </row>
    <row r="24" customFormat="false" ht="15" hidden="false" customHeight="true" outlineLevel="0" collapsed="false">
      <c r="B24" s="76" t="s">
        <v>124</v>
      </c>
      <c r="C24" s="68" t="n">
        <v>0.786</v>
      </c>
      <c r="D24" s="79" t="n">
        <v>0.78</v>
      </c>
      <c r="E24" s="68" t="n">
        <f aca="false">D24-C24</f>
        <v>-0.00600000000000001</v>
      </c>
      <c r="F24" s="68" t="n">
        <f aca="false">IFERROR((D24-C24)/C24,0)</f>
        <v>-0.00763358778625955</v>
      </c>
    </row>
    <row r="25" customFormat="false" ht="15" hidden="false" customHeight="true" outlineLevel="0" collapsed="false">
      <c r="B25" s="78" t="s">
        <v>290</v>
      </c>
      <c r="C25" s="71" t="n">
        <v>0.4</v>
      </c>
      <c r="D25" s="18" t="n">
        <v>0.28</v>
      </c>
      <c r="E25" s="71" t="n">
        <f aca="false">D25-C25</f>
        <v>-0.12</v>
      </c>
      <c r="F25" s="71" t="n">
        <f aca="false">IFERROR((D25-C25)/C25,0)</f>
        <v>-0.3</v>
      </c>
    </row>
    <row r="26" customFormat="false" ht="15" hidden="false" customHeight="true" outlineLevel="0" collapsed="false">
      <c r="B26" s="76" t="s">
        <v>130</v>
      </c>
      <c r="C26" s="77" t="n">
        <v>441</v>
      </c>
      <c r="D26" s="67" t="n">
        <f aca="false">D22*D24/D25</f>
        <v>1473.19714285714</v>
      </c>
      <c r="E26" s="77" t="n">
        <f aca="false">D26-C26</f>
        <v>1032.19714285714</v>
      </c>
      <c r="F26" s="68" t="n">
        <f aca="false">IFERROR((D26-C26)/C26,0)</f>
        <v>2.34058309037901</v>
      </c>
    </row>
    <row r="27" customFormat="false" ht="15" hidden="false" customHeight="true" outlineLevel="0" collapsed="false">
      <c r="B27" s="78" t="s">
        <v>132</v>
      </c>
      <c r="C27" s="80" t="n">
        <v>86</v>
      </c>
      <c r="D27" s="21" t="n">
        <v>110</v>
      </c>
      <c r="E27" s="80" t="n">
        <f aca="false">D27-C27</f>
        <v>24</v>
      </c>
      <c r="F27" s="71" t="n">
        <f aca="false">IFERROR((D27-C27)/C27,0)</f>
        <v>0.27906976744186</v>
      </c>
    </row>
    <row r="28" customFormat="false" ht="15" hidden="false" customHeight="true" outlineLevel="0" collapsed="false">
      <c r="B28" s="76" t="s">
        <v>291</v>
      </c>
      <c r="C28" s="81" t="n">
        <v>5.1</v>
      </c>
      <c r="D28" s="82" t="n">
        <f aca="false">D26/D27</f>
        <v>13.3927012987013</v>
      </c>
      <c r="E28" s="81" t="n">
        <f aca="false">D28-C28</f>
        <v>8.2927012987013</v>
      </c>
      <c r="F28" s="68" t="n">
        <f aca="false">IFERROR((D28-C28)/C28,0)</f>
        <v>1.62601986249045</v>
      </c>
    </row>
    <row r="29" customFormat="false" ht="15" hidden="false" customHeight="true" outlineLevel="0" collapsed="false">
      <c r="B29" s="78" t="s">
        <v>292</v>
      </c>
      <c r="C29" s="83" t="n">
        <v>51000</v>
      </c>
      <c r="D29" s="84" t="n">
        <f aca="false">10000000*0.92/D22</f>
        <v>17396.5660691324</v>
      </c>
      <c r="E29" s="83" t="n">
        <f aca="false">D29-C29</f>
        <v>-33603.4339308676</v>
      </c>
      <c r="F29" s="71" t="n">
        <f aca="false">IFERROR((D29-C29)/C29,0)</f>
        <v>-0.65889086138956</v>
      </c>
    </row>
    <row r="32" customFormat="false" ht="21.75" hidden="false" customHeight="true" outlineLevel="0" collapsed="false">
      <c r="B32" s="85" t="s">
        <v>293</v>
      </c>
      <c r="C32" s="85"/>
      <c r="D32" s="85"/>
      <c r="E32" s="85"/>
      <c r="F32" s="85"/>
      <c r="G32" s="85"/>
    </row>
    <row r="33" customFormat="false" ht="79.5" hidden="false" customHeight="true" outlineLevel="0" collapsed="false">
      <c r="B33" s="52" t="s">
        <v>294</v>
      </c>
      <c r="C33" s="52"/>
      <c r="D33" s="52"/>
      <c r="E33" s="52"/>
      <c r="F33" s="52"/>
      <c r="G33" s="52"/>
    </row>
    <row r="34" customFormat="false" ht="15" hidden="false" customHeight="true" outlineLevel="0" collapsed="false">
      <c r="B34" s="52"/>
      <c r="C34" s="52"/>
      <c r="D34" s="52"/>
      <c r="E34" s="52"/>
      <c r="F34" s="52"/>
      <c r="G34" s="52"/>
    </row>
    <row r="35" customFormat="false" ht="15" hidden="false" customHeight="true" outlineLevel="0" collapsed="false">
      <c r="B35" s="52"/>
      <c r="C35" s="52"/>
      <c r="D35" s="52"/>
      <c r="E35" s="52"/>
      <c r="F35" s="52"/>
      <c r="G35" s="52"/>
    </row>
    <row r="36" customFormat="false" ht="15" hidden="false" customHeight="true" outlineLevel="0" collapsed="false">
      <c r="B36" s="52"/>
      <c r="C36" s="52"/>
      <c r="D36" s="52"/>
      <c r="E36" s="52"/>
      <c r="F36" s="52"/>
      <c r="G36" s="52"/>
    </row>
    <row r="37" customFormat="false" ht="15" hidden="false" customHeight="true" outlineLevel="0" collapsed="false">
      <c r="B37" s="52"/>
      <c r="C37" s="52"/>
      <c r="D37" s="52"/>
      <c r="E37" s="52"/>
      <c r="F37" s="52"/>
      <c r="G37" s="52"/>
    </row>
  </sheetData>
  <mergeCells count="6">
    <mergeCell ref="B2:G2"/>
    <mergeCell ref="B3:G3"/>
    <mergeCell ref="B5:G5"/>
    <mergeCell ref="B19:G19"/>
    <mergeCell ref="B32:G32"/>
    <mergeCell ref="B33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24"/>
    <col collapsed="false" customWidth="true" hidden="false" outlineLevel="0" max="5" min="4" style="1" width="28"/>
    <col collapsed="false" customWidth="true" hidden="false" outlineLevel="0" max="6" min="6" style="1" width="22"/>
    <col collapsed="false" customWidth="true" hidden="false" outlineLevel="0" max="7" min="7" style="1" width="16"/>
  </cols>
  <sheetData>
    <row r="2" customFormat="false" ht="27.75" hidden="false" customHeight="true" outlineLevel="0" collapsed="false">
      <c r="B2" s="2" t="s">
        <v>295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296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78" t="s">
        <v>297</v>
      </c>
      <c r="C5" s="86" t="n">
        <v>196</v>
      </c>
      <c r="D5" s="72"/>
      <c r="E5" s="72"/>
      <c r="F5" s="72"/>
      <c r="G5" s="72"/>
    </row>
    <row r="6" customFormat="false" ht="15" hidden="false" customHeight="true" outlineLevel="0" collapsed="false">
      <c r="B6" s="78" t="s">
        <v>298</v>
      </c>
      <c r="C6" s="87" t="n">
        <f aca="false">10000000*0.92/C5</f>
        <v>46938.7755102041</v>
      </c>
      <c r="D6" s="72"/>
      <c r="E6" s="72"/>
      <c r="F6" s="72"/>
      <c r="G6" s="72"/>
    </row>
    <row r="7" customFormat="false" ht="15" hidden="false" customHeight="true" outlineLevel="0" collapsed="false">
      <c r="B7" s="78" t="s">
        <v>299</v>
      </c>
      <c r="C7" s="88" t="n">
        <v>120000</v>
      </c>
      <c r="D7" s="72"/>
      <c r="E7" s="72"/>
      <c r="F7" s="72"/>
      <c r="G7" s="72"/>
    </row>
    <row r="8" customFormat="false" ht="15" hidden="false" customHeight="true" outlineLevel="0" collapsed="false">
      <c r="B8" s="78" t="s">
        <v>300</v>
      </c>
      <c r="C8" s="89" t="n">
        <f aca="false">C6/C7</f>
        <v>0.391156462585034</v>
      </c>
      <c r="D8" s="72"/>
      <c r="E8" s="72"/>
      <c r="F8" s="72"/>
      <c r="G8" s="72"/>
    </row>
    <row r="9" customFormat="false" ht="15" hidden="false" customHeight="true" outlineLevel="0" collapsed="false">
      <c r="B9" s="78" t="s">
        <v>159</v>
      </c>
      <c r="C9" s="90" t="s">
        <v>301</v>
      </c>
      <c r="D9" s="90"/>
      <c r="E9" s="90"/>
      <c r="F9" s="90"/>
      <c r="G9" s="90"/>
    </row>
    <row r="12" customFormat="false" ht="15" hidden="false" customHeight="true" outlineLevel="0" collapsed="false">
      <c r="B12" s="4" t="s">
        <v>302</v>
      </c>
      <c r="C12" s="4"/>
      <c r="D12" s="4"/>
      <c r="E12" s="4"/>
      <c r="F12" s="4"/>
      <c r="G12" s="4"/>
    </row>
    <row r="13" customFormat="false" ht="15" hidden="false" customHeight="true" outlineLevel="0" collapsed="false">
      <c r="B13" s="78" t="s">
        <v>303</v>
      </c>
      <c r="C13" s="91" t="n">
        <f aca="false">'ARPA Multicapa v3'!F16</f>
        <v>528.84</v>
      </c>
      <c r="D13" s="72"/>
      <c r="E13" s="72"/>
      <c r="F13" s="72"/>
      <c r="G13" s="72"/>
    </row>
    <row r="14" customFormat="false" ht="15" hidden="false" customHeight="true" outlineLevel="0" collapsed="false">
      <c r="B14" s="78" t="s">
        <v>304</v>
      </c>
      <c r="C14" s="84" t="n">
        <f aca="false">10000000*0.92/C13</f>
        <v>17396.5660691324</v>
      </c>
      <c r="D14" s="72"/>
      <c r="E14" s="72"/>
      <c r="F14" s="72"/>
      <c r="G14" s="72"/>
    </row>
    <row r="15" customFormat="false" ht="15" hidden="false" customHeight="true" outlineLevel="0" collapsed="false">
      <c r="B15" s="78" t="s">
        <v>305</v>
      </c>
      <c r="C15" s="88" t="n">
        <v>380000</v>
      </c>
      <c r="D15" s="72"/>
      <c r="E15" s="72"/>
      <c r="F15" s="72"/>
      <c r="G15" s="72"/>
    </row>
    <row r="16" customFormat="false" ht="15" hidden="false" customHeight="true" outlineLevel="0" collapsed="false">
      <c r="B16" s="78" t="s">
        <v>300</v>
      </c>
      <c r="C16" s="92" t="n">
        <f aca="false">C14/C15</f>
        <v>0.0457804370240328</v>
      </c>
      <c r="D16" s="72"/>
      <c r="E16" s="72"/>
      <c r="F16" s="72"/>
      <c r="G16" s="72"/>
    </row>
    <row r="17" customFormat="false" ht="15" hidden="false" customHeight="true" outlineLevel="0" collapsed="false">
      <c r="B17" s="78" t="s">
        <v>159</v>
      </c>
      <c r="C17" s="93" t="s">
        <v>306</v>
      </c>
      <c r="D17" s="93"/>
      <c r="E17" s="93"/>
      <c r="F17" s="93"/>
      <c r="G17" s="93"/>
    </row>
    <row r="20" customFormat="false" ht="15" hidden="false" customHeight="true" outlineLevel="0" collapsed="false">
      <c r="B20" s="4" t="s">
        <v>307</v>
      </c>
      <c r="C20" s="4"/>
      <c r="D20" s="4"/>
      <c r="E20" s="4"/>
      <c r="F20" s="4"/>
      <c r="G20" s="4"/>
    </row>
    <row r="21" customFormat="false" ht="30" hidden="false" customHeight="true" outlineLevel="0" collapsed="false">
      <c r="B21" s="63" t="s">
        <v>308</v>
      </c>
      <c r="C21" s="63" t="s">
        <v>309</v>
      </c>
      <c r="D21" s="63" t="s">
        <v>304</v>
      </c>
      <c r="E21" s="63" t="s">
        <v>310</v>
      </c>
      <c r="F21" s="63" t="s">
        <v>311</v>
      </c>
    </row>
    <row r="22" customFormat="false" ht="15" hidden="false" customHeight="true" outlineLevel="0" collapsed="false">
      <c r="B22" s="78" t="s">
        <v>312</v>
      </c>
      <c r="C22" s="86" t="n">
        <v>196</v>
      </c>
      <c r="D22" s="83" t="n">
        <f aca="false">10000000*0.92/C22</f>
        <v>46938.7755102041</v>
      </c>
      <c r="E22" s="83" t="n">
        <f aca="false">$D$22-D22</f>
        <v>0</v>
      </c>
      <c r="F22" s="93" t="s">
        <v>313</v>
      </c>
    </row>
    <row r="23" customFormat="false" ht="15" hidden="false" customHeight="true" outlineLevel="0" collapsed="false">
      <c r="B23" s="19" t="s">
        <v>314</v>
      </c>
      <c r="C23" s="86" t="n">
        <v>212</v>
      </c>
      <c r="D23" s="83" t="n">
        <f aca="false">10000000*0.92/C23</f>
        <v>43396.2264150943</v>
      </c>
      <c r="E23" s="83" t="n">
        <f aca="false">$D$22-D23</f>
        <v>3542.54909510975</v>
      </c>
      <c r="F23" s="19" t="s">
        <v>315</v>
      </c>
    </row>
    <row r="24" customFormat="false" ht="15" hidden="false" customHeight="true" outlineLevel="0" collapsed="false">
      <c r="B24" s="19" t="s">
        <v>316</v>
      </c>
      <c r="C24" s="86" t="n">
        <v>300</v>
      </c>
      <c r="D24" s="83" t="n">
        <f aca="false">10000000*0.92/C24</f>
        <v>30666.6666666667</v>
      </c>
      <c r="E24" s="83" t="n">
        <f aca="false">$D$22-D24</f>
        <v>16272.1088435374</v>
      </c>
      <c r="F24" s="19" t="s">
        <v>317</v>
      </c>
    </row>
    <row r="25" customFormat="false" ht="15" hidden="false" customHeight="true" outlineLevel="0" collapsed="false">
      <c r="B25" s="19" t="s">
        <v>318</v>
      </c>
      <c r="C25" s="86" t="n">
        <v>345</v>
      </c>
      <c r="D25" s="83" t="n">
        <f aca="false">10000000*0.92/C25</f>
        <v>26666.6666666667</v>
      </c>
      <c r="E25" s="83" t="n">
        <f aca="false">$D$22-D25</f>
        <v>20272.1088435374</v>
      </c>
      <c r="F25" s="19" t="s">
        <v>317</v>
      </c>
    </row>
    <row r="26" customFormat="false" ht="15" hidden="false" customHeight="true" outlineLevel="0" collapsed="false">
      <c r="B26" s="19" t="s">
        <v>319</v>
      </c>
      <c r="C26" s="86" t="n">
        <v>370</v>
      </c>
      <c r="D26" s="83" t="n">
        <f aca="false">10000000*0.92/C26</f>
        <v>24864.8648648649</v>
      </c>
      <c r="E26" s="83" t="n">
        <f aca="false">$D$22-D26</f>
        <v>22073.9106453392</v>
      </c>
      <c r="F26" s="19" t="s">
        <v>320</v>
      </c>
    </row>
    <row r="27" customFormat="false" ht="15" hidden="false" customHeight="true" outlineLevel="0" collapsed="false">
      <c r="B27" s="19" t="s">
        <v>321</v>
      </c>
      <c r="C27" s="86" t="n">
        <v>390</v>
      </c>
      <c r="D27" s="83" t="n">
        <f aca="false">10000000*0.92/C27</f>
        <v>23589.7435897436</v>
      </c>
      <c r="E27" s="83" t="n">
        <f aca="false">$D$22-D27</f>
        <v>23349.0319204605</v>
      </c>
      <c r="F27" s="19" t="s">
        <v>320</v>
      </c>
    </row>
    <row r="28" customFormat="false" ht="15" hidden="false" customHeight="true" outlineLevel="0" collapsed="false">
      <c r="B28" s="19" t="s">
        <v>322</v>
      </c>
      <c r="C28" s="86" t="n">
        <v>410</v>
      </c>
      <c r="D28" s="83" t="n">
        <f aca="false">10000000*0.92/C28</f>
        <v>22439.0243902439</v>
      </c>
      <c r="E28" s="83" t="n">
        <f aca="false">$D$22-D28</f>
        <v>24499.7511199602</v>
      </c>
      <c r="F28" s="19" t="s">
        <v>37</v>
      </c>
    </row>
    <row r="29" customFormat="false" ht="15" hidden="false" customHeight="true" outlineLevel="0" collapsed="false">
      <c r="B29" s="78" t="s">
        <v>323</v>
      </c>
      <c r="C29" s="86" t="n">
        <v>442</v>
      </c>
      <c r="D29" s="83" t="n">
        <f aca="false">10000000*0.92/C29</f>
        <v>20814.4796380091</v>
      </c>
      <c r="E29" s="83" t="n">
        <f aca="false">$D$22-D29</f>
        <v>26124.295872195</v>
      </c>
      <c r="F29" s="93" t="s">
        <v>324</v>
      </c>
    </row>
  </sheetData>
  <mergeCells count="6">
    <mergeCell ref="B2:G2"/>
    <mergeCell ref="B4:G4"/>
    <mergeCell ref="C9:G9"/>
    <mergeCell ref="B12:G12"/>
    <mergeCell ref="C17:G17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6" min="3" style="1" width="18"/>
    <col collapsed="false" customWidth="true" hidden="false" outlineLevel="0" max="7" min="7" style="1" width="4"/>
  </cols>
  <sheetData>
    <row r="2" customFormat="false" ht="30" hidden="false" customHeight="true" outlineLevel="0" collapsed="false">
      <c r="B2" s="94" t="s">
        <v>325</v>
      </c>
      <c r="C2" s="94"/>
      <c r="D2" s="94"/>
      <c r="E2" s="94"/>
      <c r="F2" s="94"/>
    </row>
    <row r="3" customFormat="false" ht="15" hidden="false" customHeight="true" outlineLevel="0" collapsed="false">
      <c r="B3" s="95" t="s">
        <v>326</v>
      </c>
      <c r="C3" s="95"/>
      <c r="D3" s="95"/>
      <c r="E3" s="95"/>
      <c r="F3" s="95"/>
    </row>
    <row r="5" customFormat="false" ht="21.75" hidden="false" customHeight="true" outlineLevel="0" collapsed="false">
      <c r="B5" s="96" t="s">
        <v>327</v>
      </c>
      <c r="C5" s="96"/>
      <c r="D5" s="96"/>
      <c r="E5" s="96"/>
      <c r="F5" s="96"/>
    </row>
    <row r="6" customFormat="false" ht="26.25" hidden="false" customHeight="true" outlineLevel="0" collapsed="false">
      <c r="B6" s="97" t="s">
        <v>328</v>
      </c>
      <c r="C6" s="98" t="n">
        <f aca="false">LTV!C28</f>
        <v>196.2</v>
      </c>
    </row>
    <row r="7" customFormat="false" ht="15" hidden="false" customHeight="true" outlineLevel="0" collapsed="false">
      <c r="B7" s="97" t="s">
        <v>124</v>
      </c>
      <c r="C7" s="99" t="n">
        <f aca="false">'Gross Margin'!C30</f>
        <v>0.785932721712538</v>
      </c>
    </row>
    <row r="8" customFormat="false" ht="15" hidden="false" customHeight="true" outlineLevel="0" collapsed="false">
      <c r="B8" s="97" t="s">
        <v>329</v>
      </c>
      <c r="C8" s="98" t="n">
        <f aca="false">LTV!C30</f>
        <v>154.2</v>
      </c>
    </row>
    <row r="9" customFormat="false" ht="15" hidden="false" customHeight="true" outlineLevel="0" collapsed="false">
      <c r="B9" s="97" t="s">
        <v>330</v>
      </c>
      <c r="C9" s="99" t="n">
        <f aca="false">LTV!C24</f>
        <v>0.4</v>
      </c>
    </row>
    <row r="10" customFormat="false" ht="15" hidden="false" customHeight="true" outlineLevel="0" collapsed="false">
      <c r="B10" s="97" t="s">
        <v>331</v>
      </c>
      <c r="C10" s="100" t="n">
        <f aca="false">LTV!C32</f>
        <v>440.571428571429</v>
      </c>
    </row>
    <row r="11" customFormat="false" ht="15" hidden="false" customHeight="true" outlineLevel="0" collapsed="false">
      <c r="B11" s="97" t="s">
        <v>332</v>
      </c>
      <c r="C11" s="101" t="n">
        <f aca="false">CAC!C19</f>
        <v>85.75</v>
      </c>
    </row>
    <row r="12" customFormat="false" ht="15" hidden="false" customHeight="true" outlineLevel="0" collapsed="false">
      <c r="B12" s="97" t="s">
        <v>134</v>
      </c>
      <c r="C12" s="102" t="n">
        <f aca="false">C10/C11</f>
        <v>5.13785922532278</v>
      </c>
    </row>
    <row r="13" customFormat="false" ht="15" hidden="false" customHeight="true" outlineLevel="0" collapsed="false">
      <c r="B13" s="97" t="s">
        <v>136</v>
      </c>
      <c r="C13" s="103" t="n">
        <f aca="false">C11/(C8/12)</f>
        <v>6.67315175097276</v>
      </c>
    </row>
    <row r="14" customFormat="false" ht="15" hidden="false" customHeight="true" outlineLevel="0" collapsed="false">
      <c r="B14" s="97" t="s">
        <v>333</v>
      </c>
      <c r="C14" s="104" t="n">
        <f aca="false">'Break-even'!C18</f>
        <v>506638.392857144</v>
      </c>
    </row>
    <row r="15" customFormat="false" ht="15" hidden="false" customHeight="true" outlineLevel="0" collapsed="false">
      <c r="B15" s="97" t="s">
        <v>334</v>
      </c>
      <c r="C15" s="105" t="n">
        <f aca="false">'Break-even'!C28</f>
        <v>74214.6465755222</v>
      </c>
    </row>
    <row r="17" customFormat="false" ht="21.75" hidden="false" customHeight="true" outlineLevel="0" collapsed="false">
      <c r="B17" s="96" t="s">
        <v>335</v>
      </c>
      <c r="C17" s="96"/>
      <c r="D17" s="96"/>
      <c r="E17" s="96"/>
      <c r="F17" s="96"/>
    </row>
    <row r="18" customFormat="false" ht="90" hidden="false" customHeight="true" outlineLevel="0" collapsed="false">
      <c r="B18" s="106" t="s">
        <v>336</v>
      </c>
      <c r="C18" s="106"/>
      <c r="D18" s="106"/>
      <c r="E18" s="106"/>
      <c r="F18" s="106"/>
    </row>
    <row r="20" customFormat="false" ht="15" hidden="false" customHeight="true" outlineLevel="0" collapsed="false">
      <c r="B20" s="96" t="s">
        <v>337</v>
      </c>
      <c r="C20" s="96"/>
      <c r="D20" s="96"/>
      <c r="E20" s="96"/>
      <c r="F20" s="96"/>
    </row>
    <row r="21" customFormat="false" ht="15" hidden="false" customHeight="true" outlineLevel="0" collapsed="false">
      <c r="B21" s="107" t="s">
        <v>113</v>
      </c>
      <c r="C21" s="107" t="s">
        <v>338</v>
      </c>
      <c r="D21" s="107" t="s">
        <v>339</v>
      </c>
      <c r="E21" s="107" t="s">
        <v>340</v>
      </c>
      <c r="F21" s="107" t="s">
        <v>341</v>
      </c>
    </row>
    <row r="22" customFormat="false" ht="26.25" hidden="false" customHeight="true" outlineLevel="0" collapsed="false">
      <c r="B22" s="108" t="s">
        <v>342</v>
      </c>
      <c r="C22" s="109" t="n">
        <f aca="false">C12</f>
        <v>5.13785922532278</v>
      </c>
      <c r="D22" s="108" t="s">
        <v>343</v>
      </c>
      <c r="E22" s="110" t="str">
        <f aca="false">IF(C22&gt;=3,"VERDE",IF(C22&gt;=2,"AMBAR","ROJO"))</f>
        <v>VERDE</v>
      </c>
      <c r="F22" s="108" t="s">
        <v>344</v>
      </c>
    </row>
    <row r="23" customFormat="false" ht="26.25" hidden="false" customHeight="true" outlineLevel="0" collapsed="false">
      <c r="B23" s="108" t="s">
        <v>345</v>
      </c>
      <c r="C23" s="111" t="n">
        <f aca="false">C13</f>
        <v>6.67315175097276</v>
      </c>
      <c r="D23" s="108" t="s">
        <v>346</v>
      </c>
      <c r="E23" s="110" t="str">
        <f aca="false">IF(C23&lt;=12,"VERDE",IF(C23&lt;=18,"AMBAR","ROJO"))</f>
        <v>VERDE</v>
      </c>
      <c r="F23" s="108" t="s">
        <v>347</v>
      </c>
    </row>
    <row r="24" customFormat="false" ht="39" hidden="false" customHeight="true" outlineLevel="0" collapsed="false">
      <c r="B24" s="108" t="s">
        <v>348</v>
      </c>
      <c r="C24" s="112" t="n">
        <f aca="false">C7</f>
        <v>0.785932721712538</v>
      </c>
      <c r="D24" s="108" t="s">
        <v>349</v>
      </c>
      <c r="E24" s="110" t="str">
        <f aca="false">IF(C24&gt;=0.7,"VERDE",IF(C24&gt;=0.5,"AMBAR","ROJO"))</f>
        <v>VERDE</v>
      </c>
      <c r="F24" s="108" t="s">
        <v>350</v>
      </c>
    </row>
    <row r="25" customFormat="false" ht="26.25" hidden="false" customHeight="true" outlineLevel="0" collapsed="false">
      <c r="B25" s="108" t="s">
        <v>351</v>
      </c>
      <c r="C25" s="112" t="n">
        <f aca="false">C9</f>
        <v>0.4</v>
      </c>
      <c r="D25" s="108" t="s">
        <v>352</v>
      </c>
      <c r="E25" s="110" t="str">
        <f aca="false">IF(C25&lt;=0.3,"VERDE",IF(C25&lt;=0.5,"AMBAR","ROJO"))</f>
        <v>AMBAR</v>
      </c>
      <c r="F25" s="108" t="s">
        <v>353</v>
      </c>
    </row>
    <row r="27" customFormat="false" ht="15" hidden="false" customHeight="true" outlineLevel="0" collapsed="false">
      <c r="B27" s="113" t="s">
        <v>354</v>
      </c>
      <c r="C27" s="113"/>
      <c r="D27" s="113"/>
      <c r="E27" s="113"/>
      <c r="F27" s="113"/>
    </row>
    <row r="28" customFormat="false" ht="15" hidden="false" customHeight="true" outlineLevel="0" collapsed="false">
      <c r="B28" s="97" t="s">
        <v>355</v>
      </c>
      <c r="C28" s="114" t="n">
        <f aca="false">'Monthly 24m'!Z40</f>
        <v>2491.69208840242</v>
      </c>
    </row>
    <row r="29" customFormat="false" ht="15" hidden="false" customHeight="true" outlineLevel="0" collapsed="false">
      <c r="B29" s="97" t="s">
        <v>356</v>
      </c>
      <c r="C29" s="115" t="n">
        <f aca="false">'Monthly 24m'!Z43</f>
        <v>79983.3160377176</v>
      </c>
    </row>
    <row r="30" customFormat="false" ht="15" hidden="false" customHeight="true" outlineLevel="0" collapsed="false">
      <c r="B30" s="97" t="s">
        <v>357</v>
      </c>
      <c r="C30" s="116" t="n">
        <f aca="false">'Monthly 24m'!Z64</f>
        <v>959799.792452611</v>
      </c>
    </row>
    <row r="31" customFormat="false" ht="15" hidden="false" customHeight="true" outlineLevel="0" collapsed="false">
      <c r="B31" s="97" t="s">
        <v>358</v>
      </c>
      <c r="C31" s="115" t="n">
        <f aca="false">'Monthly 24m'!Z44</f>
        <v>411129.194586399</v>
      </c>
    </row>
    <row r="32" customFormat="false" ht="15" hidden="false" customHeight="true" outlineLevel="0" collapsed="false">
      <c r="B32" s="97" t="s">
        <v>359</v>
      </c>
      <c r="C32" s="117" t="n">
        <f aca="false">'Monthly 24m'!Z59</f>
        <v>234428.639823447</v>
      </c>
    </row>
    <row r="33" customFormat="false" ht="15" hidden="false" customHeight="true" outlineLevel="0" collapsed="false">
      <c r="B33" s="97" t="s">
        <v>360</v>
      </c>
      <c r="C33" s="118" t="n">
        <f aca="false">300000-C32</f>
        <v>65571.3601765535</v>
      </c>
    </row>
    <row r="34" customFormat="false" ht="15" hidden="false" customHeight="true" outlineLevel="0" collapsed="false">
      <c r="B34" s="97" t="s">
        <v>361</v>
      </c>
      <c r="C34" s="119" t="n">
        <f aca="false">C33/MAX(C30,1)</f>
        <v>0.0683177478180076</v>
      </c>
    </row>
    <row r="35" customFormat="false" ht="15" hidden="false" customHeight="true" outlineLevel="0" collapsed="false">
      <c r="B35" s="97" t="s">
        <v>362</v>
      </c>
      <c r="C35" s="120" t="n">
        <f aca="false">SUM('Monthly 24m'!C65:Z65)/SUM('Monthly 24m'!C51:Z51)</f>
        <v>2.44223865764023</v>
      </c>
    </row>
    <row r="36" customFormat="false" ht="15" hidden="false" customHeight="true" outlineLevel="0" collapsed="false">
      <c r="B36" s="97" t="s">
        <v>363</v>
      </c>
      <c r="C36" s="121" t="str">
        <f aca="false">IF(AND(C30&gt;=300000,'KPI Goldman'!E17="VERDE"),"PRÓXIMO","NO AÚN")</f>
        <v>PRÓXIMO</v>
      </c>
    </row>
    <row r="38" customFormat="false" ht="21.75" hidden="false" customHeight="true" outlineLevel="0" collapsed="false">
      <c r="B38" s="85" t="s">
        <v>364</v>
      </c>
      <c r="C38" s="85"/>
      <c r="D38" s="85"/>
      <c r="E38" s="85"/>
      <c r="F38" s="85"/>
    </row>
    <row r="39" customFormat="false" ht="15" hidden="false" customHeight="true" outlineLevel="0" collapsed="false">
      <c r="B39" s="122" t="s">
        <v>365</v>
      </c>
      <c r="C39" s="123" t="n">
        <f aca="false">'ARPA Multicapa v3'!F16</f>
        <v>528.84</v>
      </c>
    </row>
    <row r="40" customFormat="false" ht="15" hidden="false" customHeight="true" outlineLevel="0" collapsed="false">
      <c r="B40" s="122" t="s">
        <v>304</v>
      </c>
      <c r="C40" s="124" t="n">
        <f aca="false">'Path to 10M ARR v3'!C14</f>
        <v>17396.5660691324</v>
      </c>
    </row>
    <row r="41" customFormat="false" ht="15" hidden="false" customHeight="true" outlineLevel="0" collapsed="false">
      <c r="B41" s="122" t="s">
        <v>366</v>
      </c>
      <c r="C41" s="125" t="n">
        <v>0.22</v>
      </c>
    </row>
    <row r="42" customFormat="false" ht="15" hidden="false" customHeight="true" outlineLevel="0" collapsed="false">
      <c r="B42" s="122" t="s">
        <v>367</v>
      </c>
      <c r="C42" s="126" t="n">
        <f aca="false">1-('Path to 10M ARR v3'!C14/'Path to 10M ARR v3'!C6)</f>
        <v>0.6293775054837</v>
      </c>
    </row>
    <row r="43" customFormat="false" ht="15" hidden="false" customHeight="true" outlineLevel="0" collapsed="false">
      <c r="B43" s="122" t="s">
        <v>368</v>
      </c>
      <c r="C43" s="127" t="s">
        <v>369</v>
      </c>
      <c r="D43" s="127"/>
      <c r="E43" s="127"/>
      <c r="F43" s="127"/>
    </row>
    <row r="45" customFormat="false" ht="24" hidden="false" customHeight="true" outlineLevel="0" collapsed="false">
      <c r="B45" s="24" t="s">
        <v>370</v>
      </c>
      <c r="C45" s="24"/>
      <c r="D45" s="24"/>
      <c r="E45" s="24"/>
      <c r="F45" s="24"/>
    </row>
    <row r="47" customFormat="false" ht="15" hidden="false" customHeight="false" outlineLevel="0" collapsed="false">
      <c r="B47" s="128" t="s">
        <v>371</v>
      </c>
      <c r="C47" s="129" t="n">
        <v>476</v>
      </c>
    </row>
    <row r="48" customFormat="false" ht="15" hidden="false" customHeight="false" outlineLevel="0" collapsed="false">
      <c r="B48" s="128" t="s">
        <v>372</v>
      </c>
      <c r="C48" s="130" t="n">
        <v>0.158</v>
      </c>
    </row>
    <row r="49" customFormat="false" ht="15" hidden="false" customHeight="false" outlineLevel="0" collapsed="false">
      <c r="B49" s="128" t="s">
        <v>373</v>
      </c>
      <c r="C49" s="129" t="n">
        <v>1294</v>
      </c>
    </row>
    <row r="50" customFormat="false" ht="15" hidden="false" customHeight="false" outlineLevel="0" collapsed="false">
      <c r="B50" s="128" t="s">
        <v>374</v>
      </c>
      <c r="C50" s="131" t="n">
        <v>15</v>
      </c>
    </row>
    <row r="51" customFormat="false" ht="15" hidden="false" customHeight="false" outlineLevel="0" collapsed="false">
      <c r="B51" s="128" t="s">
        <v>375</v>
      </c>
      <c r="C51" s="132" t="n">
        <v>2.9</v>
      </c>
    </row>
    <row r="52" customFormat="false" ht="15" hidden="false" customHeight="false" outlineLevel="0" collapsed="false">
      <c r="B52" s="128" t="s">
        <v>376</v>
      </c>
      <c r="C52" s="133" t="n">
        <v>21000</v>
      </c>
    </row>
    <row r="53" customFormat="false" ht="15" hidden="false" customHeight="false" outlineLevel="0" collapsed="false">
      <c r="B53" s="128" t="s">
        <v>377</v>
      </c>
      <c r="C53" s="134" t="n">
        <v>13</v>
      </c>
    </row>
    <row r="54" customFormat="false" ht="15" hidden="false" customHeight="false" outlineLevel="0" collapsed="false">
      <c r="B54" s="128" t="s">
        <v>378</v>
      </c>
      <c r="C54" s="129" t="n">
        <v>215000</v>
      </c>
    </row>
    <row r="56" customFormat="false" ht="15" hidden="false" customHeight="false" outlineLevel="0" collapsed="false">
      <c r="B56" s="25" t="s">
        <v>379</v>
      </c>
      <c r="C56" s="25"/>
      <c r="D56" s="25"/>
      <c r="E56" s="25"/>
      <c r="F56" s="25"/>
    </row>
  </sheetData>
  <mergeCells count="11">
    <mergeCell ref="B2:F2"/>
    <mergeCell ref="B3:F3"/>
    <mergeCell ref="B5:F5"/>
    <mergeCell ref="B17:F17"/>
    <mergeCell ref="B18:F18"/>
    <mergeCell ref="B20:F20"/>
    <mergeCell ref="B27:F27"/>
    <mergeCell ref="B38:F38"/>
    <mergeCell ref="C43:F43"/>
    <mergeCell ref="B45:F45"/>
    <mergeCell ref="B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9" min="3" style="1" width="9"/>
    <col collapsed="false" customWidth="true" hidden="false" outlineLevel="0" max="10" min="10" style="1" width="4"/>
    <col collapsed="false" customWidth="true" hidden="false" outlineLevel="0" max="11" min="11" style="1" width="50"/>
  </cols>
  <sheetData>
    <row r="2" customFormat="false" ht="25.5" hidden="false" customHeight="true" outlineLevel="0" collapsed="false">
      <c r="B2" s="135" t="s">
        <v>380</v>
      </c>
      <c r="C2" s="135"/>
      <c r="D2" s="135"/>
      <c r="E2" s="135"/>
      <c r="F2" s="135"/>
      <c r="G2" s="135"/>
      <c r="H2" s="135"/>
      <c r="I2" s="135"/>
    </row>
    <row r="3" customFormat="false" ht="42.75" hidden="false" customHeight="true" outlineLevel="0" collapsed="false">
      <c r="B3" s="136" t="s">
        <v>381</v>
      </c>
    </row>
    <row r="5" customFormat="false" ht="15" hidden="false" customHeight="true" outlineLevel="0" collapsed="false">
      <c r="B5" s="137" t="s">
        <v>382</v>
      </c>
      <c r="C5" s="137"/>
      <c r="D5" s="137"/>
      <c r="E5" s="137"/>
      <c r="F5" s="137"/>
      <c r="G5" s="137"/>
      <c r="H5" s="137"/>
      <c r="I5" s="137"/>
    </row>
    <row r="6" customFormat="false" ht="15" hidden="false" customHeight="true" outlineLevel="0" collapsed="false">
      <c r="B6" s="138" t="s">
        <v>9</v>
      </c>
      <c r="C6" s="139" t="s">
        <v>383</v>
      </c>
      <c r="D6" s="140" t="s">
        <v>384</v>
      </c>
      <c r="E6" s="141" t="s">
        <v>385</v>
      </c>
      <c r="F6" s="142" t="s">
        <v>386</v>
      </c>
      <c r="G6" s="143" t="s">
        <v>387</v>
      </c>
      <c r="H6" s="144" t="s">
        <v>388</v>
      </c>
      <c r="I6" s="145" t="s">
        <v>389</v>
      </c>
    </row>
    <row r="7" customFormat="false" ht="15" hidden="false" customHeight="true" outlineLevel="0" collapsed="false">
      <c r="B7" s="97" t="s">
        <v>390</v>
      </c>
      <c r="C7" s="139" t="s">
        <v>391</v>
      </c>
      <c r="D7" s="140" t="s">
        <v>392</v>
      </c>
      <c r="E7" s="141" t="s">
        <v>393</v>
      </c>
      <c r="F7" s="142" t="s">
        <v>394</v>
      </c>
      <c r="G7" s="143" t="s">
        <v>395</v>
      </c>
      <c r="H7" s="144" t="s">
        <v>396</v>
      </c>
      <c r="I7" s="145" t="s">
        <v>397</v>
      </c>
    </row>
    <row r="8" customFormat="false" ht="15" hidden="false" customHeight="true" outlineLevel="0" collapsed="false">
      <c r="B8" s="97" t="s">
        <v>398</v>
      </c>
      <c r="C8" s="146" t="n">
        <v>2</v>
      </c>
      <c r="D8" s="146" t="n">
        <v>2</v>
      </c>
      <c r="E8" s="146" t="n">
        <v>2</v>
      </c>
      <c r="F8" s="146" t="n">
        <v>3</v>
      </c>
      <c r="G8" s="146" t="n">
        <v>3</v>
      </c>
      <c r="H8" s="146" t="n">
        <v>6</v>
      </c>
      <c r="I8" s="146" t="n">
        <v>6</v>
      </c>
    </row>
    <row r="10" customFormat="false" ht="15" hidden="false" customHeight="true" outlineLevel="0" collapsed="false">
      <c r="B10" s="137" t="s">
        <v>399</v>
      </c>
      <c r="C10" s="137"/>
      <c r="D10" s="137"/>
      <c r="E10" s="137"/>
      <c r="F10" s="137"/>
      <c r="G10" s="137"/>
      <c r="H10" s="137"/>
      <c r="I10" s="137"/>
    </row>
    <row r="11" customFormat="false" ht="26.25" hidden="false" customHeight="true" outlineLevel="0" collapsed="false">
      <c r="B11" s="97" t="s">
        <v>400</v>
      </c>
      <c r="C11" s="146" t="n">
        <v>5</v>
      </c>
      <c r="D11" s="146" t="n">
        <v>15</v>
      </c>
      <c r="E11" s="146" t="n">
        <v>50</v>
      </c>
      <c r="F11" s="146" t="n">
        <v>100</v>
      </c>
      <c r="G11" s="146" t="n">
        <v>150</v>
      </c>
      <c r="H11" s="146" t="n">
        <v>180</v>
      </c>
      <c r="I11" s="146" t="n">
        <v>200</v>
      </c>
      <c r="K11" s="136" t="s">
        <v>401</v>
      </c>
    </row>
    <row r="12" customFormat="false" ht="21.75" hidden="false" customHeight="true" outlineLevel="0" collapsed="false">
      <c r="B12" s="97" t="s">
        <v>132</v>
      </c>
      <c r="C12" s="147" t="n">
        <v>15</v>
      </c>
      <c r="D12" s="147" t="n">
        <v>25</v>
      </c>
      <c r="E12" s="147" t="n">
        <v>60</v>
      </c>
      <c r="F12" s="147" t="n">
        <v>100</v>
      </c>
      <c r="G12" s="147" t="n">
        <v>130</v>
      </c>
      <c r="H12" s="147" t="n">
        <v>120</v>
      </c>
      <c r="I12" s="147" t="n">
        <v>140</v>
      </c>
      <c r="K12" s="136" t="s">
        <v>402</v>
      </c>
    </row>
    <row r="13" customFormat="false" ht="26.25" hidden="false" customHeight="true" outlineLevel="0" collapsed="false">
      <c r="B13" s="97" t="s">
        <v>403</v>
      </c>
      <c r="C13" s="148" t="n">
        <f aca="false">C11*C8</f>
        <v>10</v>
      </c>
      <c r="D13" s="148" t="n">
        <f aca="false">C13+D11*D8</f>
        <v>40</v>
      </c>
      <c r="E13" s="148" t="n">
        <f aca="false">D13+E11*E8</f>
        <v>140</v>
      </c>
      <c r="F13" s="148" t="n">
        <f aca="false">E13+F11*F8</f>
        <v>440</v>
      </c>
      <c r="G13" s="148" t="n">
        <f aca="false">F13+G11*G8</f>
        <v>890</v>
      </c>
      <c r="H13" s="148" t="n">
        <f aca="false">G13+H11*H8</f>
        <v>1970</v>
      </c>
      <c r="I13" s="148" t="n">
        <f aca="false">H13+I11*I8</f>
        <v>3170</v>
      </c>
    </row>
    <row r="15" customFormat="false" ht="15" hidden="false" customHeight="true" outlineLevel="0" collapsed="false">
      <c r="B15" s="137" t="s">
        <v>404</v>
      </c>
      <c r="C15" s="137"/>
      <c r="D15" s="137"/>
      <c r="E15" s="137"/>
      <c r="F15" s="137"/>
      <c r="G15" s="137"/>
      <c r="H15" s="137"/>
      <c r="I15" s="137"/>
    </row>
    <row r="16" customFormat="false" ht="21.75" hidden="false" customHeight="true" outlineLevel="0" collapsed="false">
      <c r="B16" s="97" t="s">
        <v>405</v>
      </c>
      <c r="C16" s="147" t="n">
        <v>0</v>
      </c>
      <c r="D16" s="147" t="n">
        <v>30</v>
      </c>
      <c r="E16" s="147" t="n">
        <v>60</v>
      </c>
      <c r="F16" s="147" t="n">
        <v>100</v>
      </c>
      <c r="G16" s="147" t="n">
        <v>130</v>
      </c>
      <c r="H16" s="147" t="n">
        <v>150</v>
      </c>
      <c r="I16" s="147" t="n">
        <v>165</v>
      </c>
      <c r="K16" s="136" t="s">
        <v>406</v>
      </c>
    </row>
    <row r="17" customFormat="false" ht="21.75" hidden="false" customHeight="true" outlineLevel="0" collapsed="false">
      <c r="B17" s="97" t="s">
        <v>407</v>
      </c>
      <c r="C17" s="149" t="n">
        <v>0</v>
      </c>
      <c r="D17" s="149" t="n">
        <v>0.1</v>
      </c>
      <c r="E17" s="149" t="n">
        <v>0.12</v>
      </c>
      <c r="F17" s="149" t="n">
        <v>0.12</v>
      </c>
      <c r="G17" s="149" t="n">
        <v>0.12</v>
      </c>
      <c r="H17" s="149" t="n">
        <v>0.13</v>
      </c>
      <c r="I17" s="149" t="n">
        <v>0.14</v>
      </c>
      <c r="K17" s="136" t="s">
        <v>408</v>
      </c>
    </row>
    <row r="18" customFormat="false" ht="15" hidden="false" customHeight="true" outlineLevel="0" collapsed="false">
      <c r="B18" s="97" t="s">
        <v>409</v>
      </c>
      <c r="C18" s="150" t="n">
        <f aca="false">C16*C17</f>
        <v>0</v>
      </c>
      <c r="D18" s="150" t="n">
        <f aca="false">D16*D17</f>
        <v>3</v>
      </c>
      <c r="E18" s="150" t="n">
        <f aca="false">E16*E17</f>
        <v>7.2</v>
      </c>
      <c r="F18" s="150" t="n">
        <f aca="false">F16*F17</f>
        <v>12</v>
      </c>
      <c r="G18" s="150" t="n">
        <f aca="false">G16*G17</f>
        <v>15.6</v>
      </c>
      <c r="H18" s="150" t="n">
        <f aca="false">H16*H17</f>
        <v>19.5</v>
      </c>
      <c r="I18" s="150" t="n">
        <f aca="false">I16*I17</f>
        <v>23.1</v>
      </c>
    </row>
    <row r="19" customFormat="false" ht="21.75" hidden="false" customHeight="true" outlineLevel="0" collapsed="false">
      <c r="B19" s="97" t="s">
        <v>410</v>
      </c>
      <c r="C19" s="151" t="n">
        <v>0</v>
      </c>
      <c r="D19" s="151" t="n">
        <v>0</v>
      </c>
      <c r="E19" s="151" t="n">
        <v>1.5</v>
      </c>
      <c r="F19" s="151" t="n">
        <v>3.5</v>
      </c>
      <c r="G19" s="151" t="n">
        <v>5</v>
      </c>
      <c r="H19" s="151" t="n">
        <v>7</v>
      </c>
      <c r="I19" s="151" t="n">
        <v>9</v>
      </c>
      <c r="K19" s="136" t="s">
        <v>411</v>
      </c>
    </row>
    <row r="20" customFormat="false" ht="15" hidden="false" customHeight="true" outlineLevel="0" collapsed="false">
      <c r="B20" s="97" t="s">
        <v>412</v>
      </c>
      <c r="C20" s="152" t="n">
        <f aca="false">C18+C19</f>
        <v>0</v>
      </c>
      <c r="D20" s="152" t="n">
        <f aca="false">D18+D19</f>
        <v>3</v>
      </c>
      <c r="E20" s="152" t="n">
        <f aca="false">E18+E19</f>
        <v>8.7</v>
      </c>
      <c r="F20" s="152" t="n">
        <f aca="false">F18+F19</f>
        <v>15.5</v>
      </c>
      <c r="G20" s="152" t="n">
        <f aca="false">G18+G19</f>
        <v>20.6</v>
      </c>
      <c r="H20" s="152" t="n">
        <f aca="false">H18+H19</f>
        <v>26.5</v>
      </c>
      <c r="I20" s="152" t="n">
        <f aca="false">I18+I19</f>
        <v>32.1</v>
      </c>
    </row>
    <row r="22" customFormat="false" ht="15" hidden="false" customHeight="true" outlineLevel="0" collapsed="false">
      <c r="B22" s="137" t="s">
        <v>413</v>
      </c>
      <c r="C22" s="137"/>
      <c r="D22" s="137"/>
      <c r="E22" s="137"/>
      <c r="F22" s="137"/>
      <c r="G22" s="137"/>
      <c r="H22" s="137"/>
      <c r="I22" s="137"/>
    </row>
    <row r="23" customFormat="false" ht="21.75" hidden="false" customHeight="true" outlineLevel="0" collapsed="false">
      <c r="B23" s="97" t="s">
        <v>414</v>
      </c>
      <c r="C23" s="149" t="n">
        <v>1</v>
      </c>
      <c r="D23" s="149" t="n">
        <v>0.92</v>
      </c>
      <c r="E23" s="149" t="n">
        <v>0.94</v>
      </c>
      <c r="F23" s="149" t="n">
        <v>0.95</v>
      </c>
      <c r="G23" s="149" t="n">
        <v>0.96</v>
      </c>
      <c r="H23" s="149" t="n">
        <v>0.97</v>
      </c>
      <c r="I23" s="149" t="n">
        <v>0.97</v>
      </c>
      <c r="K23" s="136" t="s">
        <v>415</v>
      </c>
    </row>
    <row r="24" customFormat="false" ht="15" hidden="false" customHeight="true" outlineLevel="0" collapsed="false">
      <c r="B24" s="97" t="s">
        <v>416</v>
      </c>
      <c r="C24" s="153" t="n">
        <f aca="false">1-C23^12</f>
        <v>0</v>
      </c>
      <c r="D24" s="153" t="n">
        <f aca="false">1-D23^12</f>
        <v>0.632333612345118</v>
      </c>
      <c r="E24" s="153" t="n">
        <f aca="false">1-E23^12</f>
        <v>0.524079685185747</v>
      </c>
      <c r="F24" s="153" t="n">
        <f aca="false">1-F23^12</f>
        <v>0.459639912337363</v>
      </c>
      <c r="G24" s="153" t="n">
        <f aca="false">1-G23^12</f>
        <v>0.387290242670233</v>
      </c>
      <c r="H24" s="153" t="n">
        <f aca="false">1-H23^12</f>
        <v>0.306157639004562</v>
      </c>
      <c r="I24" s="153" t="n">
        <f aca="false">1-I23^12</f>
        <v>0.306157639004562</v>
      </c>
    </row>
    <row r="25" customFormat="false" ht="26.25" hidden="false" customHeight="true" outlineLevel="0" collapsed="false">
      <c r="B25" s="97" t="s">
        <v>417</v>
      </c>
      <c r="C25" s="149" t="n">
        <v>1</v>
      </c>
      <c r="D25" s="149" t="n">
        <v>1</v>
      </c>
      <c r="E25" s="149" t="n">
        <v>1.005</v>
      </c>
      <c r="F25" s="149" t="n">
        <v>1.01</v>
      </c>
      <c r="G25" s="149" t="n">
        <v>1.012</v>
      </c>
      <c r="H25" s="149" t="n">
        <v>1.015</v>
      </c>
      <c r="I25" s="149" t="n">
        <v>1.015</v>
      </c>
      <c r="K25" s="136" t="s">
        <v>418</v>
      </c>
    </row>
    <row r="27" customFormat="false" ht="15" hidden="false" customHeight="true" outlineLevel="0" collapsed="false">
      <c r="B27" s="137" t="s">
        <v>419</v>
      </c>
      <c r="C27" s="137"/>
      <c r="D27" s="137"/>
      <c r="E27" s="137"/>
      <c r="F27" s="137"/>
      <c r="G27" s="137"/>
      <c r="H27" s="137"/>
      <c r="I27" s="137"/>
    </row>
    <row r="28" customFormat="false" ht="15" hidden="false" customHeight="true" outlineLevel="0" collapsed="false">
      <c r="B28" s="108" t="s">
        <v>420</v>
      </c>
      <c r="C28" s="149" t="n">
        <v>0</v>
      </c>
      <c r="D28" s="149" t="n">
        <v>0.025</v>
      </c>
      <c r="E28" s="149" t="n">
        <v>0.022</v>
      </c>
      <c r="F28" s="149" t="n">
        <v>0.02</v>
      </c>
      <c r="G28" s="149" t="n">
        <v>0.02</v>
      </c>
      <c r="H28" s="149" t="n">
        <v>0.018</v>
      </c>
      <c r="I28" s="149" t="n">
        <v>0.018</v>
      </c>
    </row>
    <row r="29" customFormat="false" ht="15" hidden="false" customHeight="true" outlineLevel="0" collapsed="false">
      <c r="B29" s="108" t="s">
        <v>421</v>
      </c>
      <c r="C29" s="154" t="n">
        <f aca="false">C16*C28</f>
        <v>0</v>
      </c>
      <c r="D29" s="154" t="n">
        <f aca="false">D16*D28</f>
        <v>0.75</v>
      </c>
      <c r="E29" s="154" t="n">
        <f aca="false">E16*E28</f>
        <v>1.32</v>
      </c>
      <c r="F29" s="154" t="n">
        <f aca="false">F16*F28</f>
        <v>2</v>
      </c>
      <c r="G29" s="154" t="n">
        <f aca="false">G16*G28</f>
        <v>2.6</v>
      </c>
      <c r="H29" s="154" t="n">
        <f aca="false">H16*H28</f>
        <v>2.7</v>
      </c>
      <c r="I29" s="154" t="n">
        <f aca="false">I16*I28</f>
        <v>2.97</v>
      </c>
    </row>
    <row r="30" customFormat="false" ht="26.25" hidden="false" customHeight="true" outlineLevel="0" collapsed="false">
      <c r="B30" s="108" t="s">
        <v>422</v>
      </c>
      <c r="C30" s="151" t="n">
        <v>0.5</v>
      </c>
      <c r="D30" s="151" t="n">
        <v>1</v>
      </c>
      <c r="E30" s="151" t="n">
        <v>1.5</v>
      </c>
      <c r="F30" s="151" t="n">
        <v>2</v>
      </c>
      <c r="G30" s="151" t="n">
        <v>2.5</v>
      </c>
      <c r="H30" s="151" t="n">
        <v>2.5</v>
      </c>
      <c r="I30" s="151" t="n">
        <v>2.8</v>
      </c>
      <c r="K30" s="136" t="s">
        <v>423</v>
      </c>
    </row>
    <row r="31" customFormat="false" ht="15" hidden="false" customHeight="true" outlineLevel="0" collapsed="false">
      <c r="B31" s="97" t="s">
        <v>424</v>
      </c>
      <c r="C31" s="150" t="n">
        <f aca="false">C29+C30</f>
        <v>0.5</v>
      </c>
      <c r="D31" s="150" t="n">
        <f aca="false">D29+D30</f>
        <v>1.75</v>
      </c>
      <c r="E31" s="150" t="n">
        <f aca="false">E29+E30</f>
        <v>2.82</v>
      </c>
      <c r="F31" s="150" t="n">
        <f aca="false">F29+F30</f>
        <v>4</v>
      </c>
      <c r="G31" s="150" t="n">
        <f aca="false">G29+G30</f>
        <v>5.1</v>
      </c>
      <c r="H31" s="150" t="n">
        <f aca="false">H29+H30</f>
        <v>5.2</v>
      </c>
      <c r="I31" s="150" t="n">
        <f aca="false">I29+I30</f>
        <v>5.77</v>
      </c>
    </row>
    <row r="32" customFormat="false" ht="15" hidden="false" customHeight="true" outlineLevel="0" collapsed="false">
      <c r="B32" s="97" t="s">
        <v>425</v>
      </c>
      <c r="C32" s="155" t="n">
        <f aca="false">C20-C31</f>
        <v>-0.5</v>
      </c>
      <c r="D32" s="155" t="n">
        <f aca="false">D20-D31</f>
        <v>1.25</v>
      </c>
      <c r="E32" s="155" t="n">
        <f aca="false">E20-E31</f>
        <v>5.88</v>
      </c>
      <c r="F32" s="155" t="n">
        <f aca="false">F20-F31</f>
        <v>11.5</v>
      </c>
      <c r="G32" s="155" t="n">
        <f aca="false">G20-G31</f>
        <v>15.5</v>
      </c>
      <c r="H32" s="155" t="n">
        <f aca="false">H20-H31</f>
        <v>21.3</v>
      </c>
      <c r="I32" s="155" t="n">
        <f aca="false">I20-I31</f>
        <v>26.33</v>
      </c>
    </row>
    <row r="33" customFormat="false" ht="15" hidden="false" customHeight="true" outlineLevel="0" collapsed="false">
      <c r="B33" s="97" t="s">
        <v>426</v>
      </c>
      <c r="C33" s="156" t="n">
        <f aca="false">IF(C20=0,0,C32/C20)</f>
        <v>0</v>
      </c>
      <c r="D33" s="156" t="n">
        <f aca="false">IF(D20=0,0,D32/D20)</f>
        <v>0.416666666666667</v>
      </c>
      <c r="E33" s="156" t="n">
        <f aca="false">IF(E20=0,0,E32/E20)</f>
        <v>0.675862068965517</v>
      </c>
      <c r="F33" s="156" t="n">
        <f aca="false">IF(F20=0,0,F32/F20)</f>
        <v>0.741935483870968</v>
      </c>
      <c r="G33" s="156" t="n">
        <f aca="false">IF(G20=0,0,G32/G20)</f>
        <v>0.752427184466019</v>
      </c>
      <c r="H33" s="156" t="n">
        <f aca="false">IF(H20=0,0,H32/H20)</f>
        <v>0.80377358490566</v>
      </c>
      <c r="I33" s="156" t="n">
        <f aca="false">IF(I20=0,0,I32/I20)</f>
        <v>0.820249221183801</v>
      </c>
    </row>
    <row r="35" customFormat="false" ht="15" hidden="false" customHeight="true" outlineLevel="0" collapsed="false">
      <c r="B35" s="137" t="s">
        <v>427</v>
      </c>
      <c r="C35" s="137"/>
      <c r="D35" s="137"/>
      <c r="E35" s="137"/>
      <c r="F35" s="137"/>
      <c r="G35" s="137"/>
      <c r="H35" s="137"/>
      <c r="I35" s="137"/>
    </row>
    <row r="36" customFormat="false" ht="26.25" hidden="false" customHeight="true" outlineLevel="0" collapsed="false">
      <c r="B36" s="108" t="s">
        <v>428</v>
      </c>
      <c r="C36" s="147" t="n">
        <v>3000</v>
      </c>
      <c r="D36" s="147" t="n">
        <v>3000</v>
      </c>
      <c r="E36" s="147" t="n">
        <v>4500</v>
      </c>
      <c r="F36" s="147" t="n">
        <v>5500</v>
      </c>
      <c r="G36" s="147" t="n">
        <v>6000</v>
      </c>
      <c r="H36" s="147" t="n">
        <v>8500</v>
      </c>
      <c r="I36" s="147" t="n">
        <v>10500</v>
      </c>
      <c r="K36" s="136" t="s">
        <v>429</v>
      </c>
    </row>
    <row r="37" customFormat="false" ht="15" hidden="false" customHeight="true" outlineLevel="0" collapsed="false">
      <c r="B37" s="108" t="s">
        <v>430</v>
      </c>
      <c r="C37" s="147" t="n">
        <v>200</v>
      </c>
      <c r="D37" s="147" t="n">
        <v>250</v>
      </c>
      <c r="E37" s="147" t="n">
        <v>350</v>
      </c>
      <c r="F37" s="147" t="n">
        <v>450</v>
      </c>
      <c r="G37" s="147" t="n">
        <v>500</v>
      </c>
      <c r="H37" s="147" t="n">
        <v>800</v>
      </c>
      <c r="I37" s="147" t="n">
        <v>900</v>
      </c>
    </row>
    <row r="38" customFormat="false" ht="15" hidden="false" customHeight="true" outlineLevel="0" collapsed="false">
      <c r="B38" s="108" t="s">
        <v>431</v>
      </c>
      <c r="C38" s="147" t="n">
        <v>100</v>
      </c>
      <c r="D38" s="147" t="n">
        <v>200</v>
      </c>
      <c r="E38" s="147" t="n">
        <v>500</v>
      </c>
      <c r="F38" s="147" t="n">
        <v>800</v>
      </c>
      <c r="G38" s="147" t="n">
        <v>1000</v>
      </c>
      <c r="H38" s="147" t="n">
        <v>1500</v>
      </c>
      <c r="I38" s="147" t="n">
        <v>1800</v>
      </c>
    </row>
    <row r="39" customFormat="false" ht="15" hidden="false" customHeight="true" outlineLevel="0" collapsed="false">
      <c r="B39" s="108" t="s">
        <v>432</v>
      </c>
      <c r="C39" s="147" t="n">
        <v>200</v>
      </c>
      <c r="D39" s="147" t="n">
        <v>200</v>
      </c>
      <c r="E39" s="147" t="n">
        <v>300</v>
      </c>
      <c r="F39" s="147" t="n">
        <v>350</v>
      </c>
      <c r="G39" s="147" t="n">
        <v>400</v>
      </c>
      <c r="H39" s="147" t="n">
        <v>600</v>
      </c>
      <c r="I39" s="147" t="n">
        <v>700</v>
      </c>
    </row>
    <row r="40" customFormat="false" ht="15" hidden="false" customHeight="true" outlineLevel="0" collapsed="false">
      <c r="B40" s="97" t="s">
        <v>433</v>
      </c>
      <c r="C40" s="157" t="n">
        <f aca="false">SUM(C36:C39)</f>
        <v>3500</v>
      </c>
      <c r="D40" s="157" t="n">
        <f aca="false">SUM(D36:D39)</f>
        <v>3650</v>
      </c>
      <c r="E40" s="157" t="n">
        <f aca="false">SUM(E36:E39)</f>
        <v>5650</v>
      </c>
      <c r="F40" s="157" t="n">
        <f aca="false">SUM(F36:F39)</f>
        <v>7100</v>
      </c>
      <c r="G40" s="157" t="n">
        <f aca="false">SUM(G36:G39)</f>
        <v>7900</v>
      </c>
      <c r="H40" s="157" t="n">
        <f aca="false">SUM(H36:H39)</f>
        <v>11400</v>
      </c>
      <c r="I40" s="157" t="n">
        <f aca="false">SUM(I36:I39)</f>
        <v>13900</v>
      </c>
    </row>
    <row r="42" customFormat="false" ht="15" hidden="false" customHeight="true" outlineLevel="0" collapsed="false">
      <c r="B42" s="137" t="s">
        <v>434</v>
      </c>
      <c r="C42" s="137"/>
      <c r="D42" s="137"/>
      <c r="E42" s="137"/>
      <c r="F42" s="137"/>
      <c r="G42" s="137"/>
      <c r="H42" s="137"/>
      <c r="I42" s="137"/>
    </row>
    <row r="43" customFormat="false" ht="26.25" hidden="false" customHeight="true" outlineLevel="0" collapsed="false">
      <c r="B43" s="108" t="s">
        <v>435</v>
      </c>
      <c r="C43" s="146" t="n">
        <v>10</v>
      </c>
      <c r="D43" s="146" t="n">
        <v>50</v>
      </c>
      <c r="E43" s="146" t="n">
        <v>200</v>
      </c>
      <c r="F43" s="146" t="n">
        <v>600</v>
      </c>
      <c r="G43" s="146" t="n">
        <v>1100</v>
      </c>
      <c r="H43" s="146" t="n">
        <v>2300</v>
      </c>
      <c r="I43" s="146" t="n">
        <v>3500</v>
      </c>
    </row>
    <row r="44" customFormat="false" ht="26.25" hidden="false" customHeight="true" outlineLevel="0" collapsed="false">
      <c r="B44" s="108" t="s">
        <v>436</v>
      </c>
      <c r="C44" s="147" t="n">
        <v>0</v>
      </c>
      <c r="D44" s="147" t="n">
        <v>1500</v>
      </c>
      <c r="E44" s="147" t="n">
        <v>12000</v>
      </c>
      <c r="F44" s="147" t="n">
        <v>60000</v>
      </c>
      <c r="G44" s="147" t="n">
        <v>143000</v>
      </c>
      <c r="H44" s="147" t="n">
        <v>345000</v>
      </c>
      <c r="I44" s="147" t="n">
        <v>577500</v>
      </c>
    </row>
    <row r="45" customFormat="false" ht="15" hidden="false" customHeight="true" outlineLevel="0" collapsed="false">
      <c r="B45" s="108" t="s">
        <v>437</v>
      </c>
      <c r="C45" s="158" t="n">
        <f aca="false">C43*C20</f>
        <v>0</v>
      </c>
      <c r="D45" s="158" t="n">
        <f aca="false">D43*D20</f>
        <v>150</v>
      </c>
      <c r="E45" s="158" t="n">
        <f aca="false">E43*E20</f>
        <v>1740</v>
      </c>
      <c r="F45" s="158" t="n">
        <f aca="false">F43*F20</f>
        <v>9300</v>
      </c>
      <c r="G45" s="158" t="n">
        <f aca="false">G43*G20</f>
        <v>22660</v>
      </c>
      <c r="H45" s="158" t="n">
        <f aca="false">H43*H20</f>
        <v>60950</v>
      </c>
      <c r="I45" s="158" t="n">
        <f aca="false">I43*I20</f>
        <v>112350</v>
      </c>
    </row>
    <row r="46" customFormat="false" ht="15" hidden="false" customHeight="true" outlineLevel="0" collapsed="false">
      <c r="B46" s="108" t="s">
        <v>438</v>
      </c>
      <c r="C46" s="159" t="n">
        <f aca="false">C45*12</f>
        <v>0</v>
      </c>
      <c r="D46" s="159" t="n">
        <f aca="false">D45*12</f>
        <v>1800</v>
      </c>
      <c r="E46" s="159" t="n">
        <f aca="false">E45*12</f>
        <v>20880</v>
      </c>
      <c r="F46" s="159" t="n">
        <f aca="false">F45*12</f>
        <v>111600</v>
      </c>
      <c r="G46" s="159" t="n">
        <f aca="false">G45*12</f>
        <v>271920</v>
      </c>
      <c r="H46" s="159" t="n">
        <f aca="false">H45*12</f>
        <v>731400</v>
      </c>
      <c r="I46" s="159" t="n">
        <f aca="false">I45*12</f>
        <v>1348200</v>
      </c>
    </row>
  </sheetData>
  <mergeCells count="8">
    <mergeCell ref="B2:I2"/>
    <mergeCell ref="B5:I5"/>
    <mergeCell ref="B10:I10"/>
    <mergeCell ref="B15:I15"/>
    <mergeCell ref="B22:I22"/>
    <mergeCell ref="B27:I27"/>
    <mergeCell ref="B35:I35"/>
    <mergeCell ref="B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9.52"/>
  </cols>
  <sheetData>
    <row r="2" customFormat="false" ht="25.5" hidden="false" customHeight="true" outlineLevel="0" collapsed="false">
      <c r="B2" s="135" t="s">
        <v>439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5" customFormat="false" ht="15" hidden="false" customHeight="true" outlineLevel="0" collapsed="false">
      <c r="B5" s="160" t="s">
        <v>440</v>
      </c>
      <c r="C5" s="161" t="s">
        <v>190</v>
      </c>
      <c r="D5" s="161" t="s">
        <v>197</v>
      </c>
      <c r="E5" s="161" t="s">
        <v>191</v>
      </c>
      <c r="F5" s="161" t="s">
        <v>441</v>
      </c>
      <c r="G5" s="161" t="s">
        <v>202</v>
      </c>
      <c r="H5" s="161" t="s">
        <v>442</v>
      </c>
      <c r="I5" s="161" t="s">
        <v>209</v>
      </c>
      <c r="J5" s="161" t="s">
        <v>443</v>
      </c>
      <c r="K5" s="161" t="s">
        <v>203</v>
      </c>
      <c r="L5" s="161" t="s">
        <v>210</v>
      </c>
      <c r="M5" s="161" t="s">
        <v>444</v>
      </c>
      <c r="N5" s="161" t="s">
        <v>445</v>
      </c>
      <c r="O5" s="161" t="s">
        <v>221</v>
      </c>
      <c r="P5" s="161" t="s">
        <v>215</v>
      </c>
      <c r="Q5" s="161" t="s">
        <v>446</v>
      </c>
      <c r="R5" s="161" t="s">
        <v>447</v>
      </c>
      <c r="S5" s="161" t="s">
        <v>448</v>
      </c>
      <c r="T5" s="161" t="s">
        <v>222</v>
      </c>
      <c r="U5" s="161" t="s">
        <v>449</v>
      </c>
      <c r="V5" s="161" t="s">
        <v>228</v>
      </c>
      <c r="W5" s="161" t="s">
        <v>450</v>
      </c>
      <c r="X5" s="161" t="s">
        <v>451</v>
      </c>
      <c r="Y5" s="161" t="s">
        <v>452</v>
      </c>
      <c r="Z5" s="161" t="s">
        <v>453</v>
      </c>
    </row>
    <row r="6" customFormat="false" ht="15" hidden="false" customHeight="true" outlineLevel="0" collapsed="false">
      <c r="B6" s="162" t="s">
        <v>9</v>
      </c>
      <c r="C6" s="163" t="s">
        <v>383</v>
      </c>
      <c r="D6" s="163" t="s">
        <v>383</v>
      </c>
      <c r="E6" s="164" t="s">
        <v>384</v>
      </c>
      <c r="F6" s="164" t="s">
        <v>384</v>
      </c>
      <c r="G6" s="165" t="s">
        <v>385</v>
      </c>
      <c r="H6" s="165" t="s">
        <v>385</v>
      </c>
      <c r="I6" s="166" t="s">
        <v>386</v>
      </c>
      <c r="J6" s="166" t="s">
        <v>386</v>
      </c>
      <c r="K6" s="166" t="s">
        <v>386</v>
      </c>
      <c r="L6" s="167" t="s">
        <v>387</v>
      </c>
      <c r="M6" s="167" t="s">
        <v>387</v>
      </c>
      <c r="N6" s="167" t="s">
        <v>387</v>
      </c>
      <c r="O6" s="168" t="s">
        <v>388</v>
      </c>
      <c r="P6" s="168" t="s">
        <v>388</v>
      </c>
      <c r="Q6" s="168" t="s">
        <v>388</v>
      </c>
      <c r="R6" s="168" t="s">
        <v>388</v>
      </c>
      <c r="S6" s="168" t="s">
        <v>388</v>
      </c>
      <c r="T6" s="168" t="s">
        <v>388</v>
      </c>
      <c r="U6" s="169" t="s">
        <v>389</v>
      </c>
      <c r="V6" s="169" t="s">
        <v>389</v>
      </c>
      <c r="W6" s="169" t="s">
        <v>389</v>
      </c>
      <c r="X6" s="169" t="s">
        <v>389</v>
      </c>
      <c r="Y6" s="169" t="s">
        <v>389</v>
      </c>
      <c r="Z6" s="169" t="s">
        <v>389</v>
      </c>
    </row>
    <row r="7" customFormat="false" ht="15" hidden="false" customHeight="true" outlineLevel="0" collapsed="false">
      <c r="B7" s="162" t="s">
        <v>454</v>
      </c>
      <c r="C7" s="170" t="n">
        <f aca="false">Phases!C11</f>
        <v>5</v>
      </c>
      <c r="D7" s="170" t="n">
        <f aca="false">Phases!C11</f>
        <v>5</v>
      </c>
      <c r="E7" s="170" t="n">
        <f aca="false">Phases!D11</f>
        <v>15</v>
      </c>
      <c r="F7" s="170" t="n">
        <f aca="false">Phases!D11</f>
        <v>15</v>
      </c>
      <c r="G7" s="170" t="n">
        <f aca="false">Phases!E11</f>
        <v>50</v>
      </c>
      <c r="H7" s="170" t="n">
        <f aca="false">Phases!E11</f>
        <v>50</v>
      </c>
      <c r="I7" s="170" t="n">
        <f aca="false">Phases!F11</f>
        <v>100</v>
      </c>
      <c r="J7" s="170" t="n">
        <f aca="false">Phases!F11</f>
        <v>100</v>
      </c>
      <c r="K7" s="170" t="n">
        <f aca="false">Phases!F11</f>
        <v>100</v>
      </c>
      <c r="L7" s="170" t="n">
        <f aca="false">Phases!G11</f>
        <v>150</v>
      </c>
      <c r="M7" s="170" t="n">
        <f aca="false">Phases!G11</f>
        <v>150</v>
      </c>
      <c r="N7" s="170" t="n">
        <f aca="false">Phases!G11</f>
        <v>150</v>
      </c>
      <c r="O7" s="170" t="n">
        <f aca="false">Phases!H11</f>
        <v>180</v>
      </c>
      <c r="P7" s="170" t="n">
        <f aca="false">Phases!H11</f>
        <v>180</v>
      </c>
      <c r="Q7" s="170" t="n">
        <f aca="false">Phases!H11</f>
        <v>180</v>
      </c>
      <c r="R7" s="170" t="n">
        <f aca="false">Phases!H11</f>
        <v>180</v>
      </c>
      <c r="S7" s="170" t="n">
        <f aca="false">Phases!H11</f>
        <v>180</v>
      </c>
      <c r="T7" s="170" t="n">
        <f aca="false">Phases!H11</f>
        <v>180</v>
      </c>
      <c r="U7" s="170" t="n">
        <f aca="false">Phases!I11</f>
        <v>200</v>
      </c>
      <c r="V7" s="170" t="n">
        <f aca="false">Phases!I11</f>
        <v>200</v>
      </c>
      <c r="W7" s="170" t="n">
        <f aca="false">Phases!I11</f>
        <v>200</v>
      </c>
      <c r="X7" s="170" t="n">
        <f aca="false">Phases!I11</f>
        <v>200</v>
      </c>
      <c r="Y7" s="170" t="n">
        <f aca="false">Phases!I11</f>
        <v>200</v>
      </c>
      <c r="Z7" s="170" t="n">
        <f aca="false">Phases!I11</f>
        <v>200</v>
      </c>
    </row>
    <row r="8" customFormat="false" ht="15" hidden="false" customHeight="true" outlineLevel="0" collapsed="false">
      <c r="B8" s="171" t="s">
        <v>455</v>
      </c>
      <c r="C8" s="172" t="n">
        <f aca="false">Phases!C12</f>
        <v>15</v>
      </c>
      <c r="D8" s="172" t="n">
        <f aca="false">Phases!C12</f>
        <v>15</v>
      </c>
      <c r="E8" s="172" t="n">
        <f aca="false">Phases!D12</f>
        <v>25</v>
      </c>
      <c r="F8" s="172" t="n">
        <f aca="false">Phases!D12</f>
        <v>25</v>
      </c>
      <c r="G8" s="172" t="n">
        <f aca="false">Phases!E12</f>
        <v>60</v>
      </c>
      <c r="H8" s="172" t="n">
        <f aca="false">Phases!E12</f>
        <v>60</v>
      </c>
      <c r="I8" s="172" t="n">
        <f aca="false">Phases!F12</f>
        <v>100</v>
      </c>
      <c r="J8" s="172" t="n">
        <f aca="false">Phases!F12</f>
        <v>100</v>
      </c>
      <c r="K8" s="172" t="n">
        <f aca="false">Phases!F12</f>
        <v>100</v>
      </c>
      <c r="L8" s="172" t="n">
        <f aca="false">Phases!G12</f>
        <v>130</v>
      </c>
      <c r="M8" s="172" t="n">
        <f aca="false">Phases!G12</f>
        <v>130</v>
      </c>
      <c r="N8" s="172" t="n">
        <f aca="false">Phases!G12</f>
        <v>130</v>
      </c>
      <c r="O8" s="172" t="n">
        <f aca="false">Phases!H12</f>
        <v>120</v>
      </c>
      <c r="P8" s="172" t="n">
        <f aca="false">Phases!H12</f>
        <v>120</v>
      </c>
      <c r="Q8" s="172" t="n">
        <f aca="false">Phases!H12</f>
        <v>120</v>
      </c>
      <c r="R8" s="172" t="n">
        <f aca="false">Phases!H12</f>
        <v>120</v>
      </c>
      <c r="S8" s="172" t="n">
        <f aca="false">Phases!H12</f>
        <v>120</v>
      </c>
      <c r="T8" s="172" t="n">
        <f aca="false">Phases!H12</f>
        <v>120</v>
      </c>
      <c r="U8" s="172" t="n">
        <f aca="false">Phases!I12</f>
        <v>140</v>
      </c>
      <c r="V8" s="172" t="n">
        <f aca="false">Phases!I12</f>
        <v>140</v>
      </c>
      <c r="W8" s="172" t="n">
        <f aca="false">Phases!I12</f>
        <v>140</v>
      </c>
      <c r="X8" s="172" t="n">
        <f aca="false">Phases!I12</f>
        <v>140</v>
      </c>
      <c r="Y8" s="172" t="n">
        <f aca="false">Phases!I12</f>
        <v>140</v>
      </c>
      <c r="Z8" s="172" t="n">
        <f aca="false">Phases!I12</f>
        <v>140</v>
      </c>
    </row>
    <row r="9" customFormat="false" ht="15" hidden="false" customHeight="true" outlineLevel="0" collapsed="false">
      <c r="B9" s="162" t="s">
        <v>456</v>
      </c>
      <c r="C9" s="173" t="n">
        <f aca="false">C7</f>
        <v>5</v>
      </c>
      <c r="D9" s="173" t="n">
        <f aca="false">C9+D7</f>
        <v>10</v>
      </c>
      <c r="E9" s="173" t="n">
        <f aca="false">D9+E7</f>
        <v>25</v>
      </c>
      <c r="F9" s="173" t="n">
        <f aca="false">E9+F7</f>
        <v>40</v>
      </c>
      <c r="G9" s="173" t="n">
        <f aca="false">F9+G7</f>
        <v>90</v>
      </c>
      <c r="H9" s="173" t="n">
        <f aca="false">G9+H7</f>
        <v>140</v>
      </c>
      <c r="I9" s="173" t="n">
        <f aca="false">H9+I7</f>
        <v>240</v>
      </c>
      <c r="J9" s="173" t="n">
        <f aca="false">I9+J7</f>
        <v>340</v>
      </c>
      <c r="K9" s="173" t="n">
        <f aca="false">J9+K7</f>
        <v>440</v>
      </c>
      <c r="L9" s="173" t="n">
        <f aca="false">K9+L7</f>
        <v>590</v>
      </c>
      <c r="M9" s="173" t="n">
        <f aca="false">L9+M7</f>
        <v>740</v>
      </c>
      <c r="N9" s="173" t="n">
        <f aca="false">M9+N7</f>
        <v>890</v>
      </c>
      <c r="O9" s="173" t="n">
        <f aca="false">N9+O7</f>
        <v>1070</v>
      </c>
      <c r="P9" s="173" t="n">
        <f aca="false">O9+P7</f>
        <v>1250</v>
      </c>
      <c r="Q9" s="173" t="n">
        <f aca="false">P9+Q7</f>
        <v>1430</v>
      </c>
      <c r="R9" s="173" t="n">
        <f aca="false">Q9+R7</f>
        <v>1610</v>
      </c>
      <c r="S9" s="173" t="n">
        <f aca="false">R9+S7</f>
        <v>1790</v>
      </c>
      <c r="T9" s="173" t="n">
        <f aca="false">S9+T7</f>
        <v>1970</v>
      </c>
      <c r="U9" s="173" t="n">
        <f aca="false">T9+U7</f>
        <v>2170</v>
      </c>
      <c r="V9" s="173" t="n">
        <f aca="false">U9+V7</f>
        <v>2370</v>
      </c>
      <c r="W9" s="173" t="n">
        <f aca="false">V9+W7</f>
        <v>2570</v>
      </c>
      <c r="X9" s="173" t="n">
        <f aca="false">W9+X7</f>
        <v>2770</v>
      </c>
      <c r="Y9" s="173" t="n">
        <f aca="false">X9+Y7</f>
        <v>2970</v>
      </c>
      <c r="Z9" s="173" t="n">
        <f aca="false">Y9+Z7</f>
        <v>3170</v>
      </c>
    </row>
    <row r="10" customFormat="false" ht="15" hidden="false" customHeight="true" outlineLevel="0" collapsed="false">
      <c r="B10" s="171" t="s">
        <v>457</v>
      </c>
      <c r="C10" s="174" t="n">
        <f aca="false">Phases!C20</f>
        <v>0</v>
      </c>
      <c r="D10" s="174" t="n">
        <f aca="false">Phases!C20</f>
        <v>0</v>
      </c>
      <c r="E10" s="174" t="n">
        <f aca="false">Phases!D20</f>
        <v>3</v>
      </c>
      <c r="F10" s="174" t="n">
        <f aca="false">Phases!D20</f>
        <v>3</v>
      </c>
      <c r="G10" s="174" t="n">
        <f aca="false">Phases!E20</f>
        <v>8.7</v>
      </c>
      <c r="H10" s="174" t="n">
        <f aca="false">Phases!E20</f>
        <v>8.7</v>
      </c>
      <c r="I10" s="174" t="n">
        <f aca="false">Phases!F20</f>
        <v>15.5</v>
      </c>
      <c r="J10" s="174" t="n">
        <f aca="false">Phases!F20</f>
        <v>15.5</v>
      </c>
      <c r="K10" s="174" t="n">
        <f aca="false">Phases!F20</f>
        <v>15.5</v>
      </c>
      <c r="L10" s="174" t="n">
        <f aca="false">Phases!G20</f>
        <v>20.6</v>
      </c>
      <c r="M10" s="174" t="n">
        <f aca="false">Phases!G20</f>
        <v>20.6</v>
      </c>
      <c r="N10" s="174" t="n">
        <f aca="false">Phases!G20</f>
        <v>20.6</v>
      </c>
      <c r="O10" s="174" t="n">
        <f aca="false">Phases!H20</f>
        <v>26.5</v>
      </c>
      <c r="P10" s="174" t="n">
        <f aca="false">Phases!H20</f>
        <v>26.5</v>
      </c>
      <c r="Q10" s="174" t="n">
        <f aca="false">Phases!H20</f>
        <v>26.5</v>
      </c>
      <c r="R10" s="174" t="n">
        <f aca="false">Phases!H20</f>
        <v>26.5</v>
      </c>
      <c r="S10" s="174" t="n">
        <f aca="false">Phases!H20</f>
        <v>26.5</v>
      </c>
      <c r="T10" s="174" t="n">
        <f aca="false">Phases!H20</f>
        <v>26.5</v>
      </c>
      <c r="U10" s="174" t="n">
        <f aca="false">Phases!I20</f>
        <v>32.1</v>
      </c>
      <c r="V10" s="174" t="n">
        <f aca="false">Phases!I20</f>
        <v>32.1</v>
      </c>
      <c r="W10" s="174" t="n">
        <f aca="false">Phases!I20</f>
        <v>32.1</v>
      </c>
      <c r="X10" s="174" t="n">
        <f aca="false">Phases!I20</f>
        <v>32.1</v>
      </c>
      <c r="Y10" s="174" t="n">
        <f aca="false">Phases!I20</f>
        <v>32.1</v>
      </c>
      <c r="Z10" s="174" t="n">
        <f aca="false">Phases!I20</f>
        <v>32.1</v>
      </c>
    </row>
    <row r="11" customFormat="false" ht="15" hidden="false" customHeight="true" outlineLevel="0" collapsed="false">
      <c r="B11" s="171" t="s">
        <v>458</v>
      </c>
      <c r="C11" s="175" t="n">
        <f aca="false">Phases!C23</f>
        <v>1</v>
      </c>
      <c r="D11" s="175" t="n">
        <f aca="false">Phases!C23</f>
        <v>1</v>
      </c>
      <c r="E11" s="175" t="n">
        <f aca="false">Phases!D23</f>
        <v>0.92</v>
      </c>
      <c r="F11" s="175" t="n">
        <f aca="false">Phases!D23</f>
        <v>0.92</v>
      </c>
      <c r="G11" s="175" t="n">
        <f aca="false">Phases!E23</f>
        <v>0.94</v>
      </c>
      <c r="H11" s="175" t="n">
        <f aca="false">Phases!E23</f>
        <v>0.94</v>
      </c>
      <c r="I11" s="175" t="n">
        <f aca="false">Phases!F23</f>
        <v>0.95</v>
      </c>
      <c r="J11" s="175" t="n">
        <f aca="false">Phases!F23</f>
        <v>0.95</v>
      </c>
      <c r="K11" s="175" t="n">
        <f aca="false">Phases!F23</f>
        <v>0.95</v>
      </c>
      <c r="L11" s="175" t="n">
        <f aca="false">Phases!G23</f>
        <v>0.96</v>
      </c>
      <c r="M11" s="175" t="n">
        <f aca="false">Phases!G23</f>
        <v>0.96</v>
      </c>
      <c r="N11" s="175" t="n">
        <f aca="false">Phases!G23</f>
        <v>0.96</v>
      </c>
      <c r="O11" s="175" t="n">
        <f aca="false">Phases!H23</f>
        <v>0.97</v>
      </c>
      <c r="P11" s="175" t="n">
        <f aca="false">Phases!H23</f>
        <v>0.97</v>
      </c>
      <c r="Q11" s="175" t="n">
        <f aca="false">Phases!H23</f>
        <v>0.97</v>
      </c>
      <c r="R11" s="175" t="n">
        <f aca="false">Phases!H23</f>
        <v>0.97</v>
      </c>
      <c r="S11" s="175" t="n">
        <f aca="false">Phases!H23</f>
        <v>0.97</v>
      </c>
      <c r="T11" s="175" t="n">
        <f aca="false">Phases!H23</f>
        <v>0.97</v>
      </c>
      <c r="U11" s="175" t="n">
        <f aca="false">Phases!I23</f>
        <v>0.97</v>
      </c>
      <c r="V11" s="175" t="n">
        <f aca="false">Phases!I23</f>
        <v>0.97</v>
      </c>
      <c r="W11" s="175" t="n">
        <f aca="false">Phases!I23</f>
        <v>0.97</v>
      </c>
      <c r="X11" s="175" t="n">
        <f aca="false">Phases!I23</f>
        <v>0.97</v>
      </c>
      <c r="Y11" s="175" t="n">
        <f aca="false">Phases!I23</f>
        <v>0.97</v>
      </c>
      <c r="Z11" s="175" t="n">
        <f aca="false">Phases!I23</f>
        <v>0.97</v>
      </c>
    </row>
    <row r="14" customFormat="false" ht="15" hidden="false" customHeight="true" outlineLevel="0" collapsed="false">
      <c r="B14" s="176" t="s">
        <v>459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customFormat="false" ht="15" hidden="false" customHeight="true" outlineLevel="0" collapsed="false">
      <c r="B15" s="160" t="s">
        <v>460</v>
      </c>
      <c r="C15" s="161" t="s">
        <v>190</v>
      </c>
      <c r="D15" s="161" t="s">
        <v>197</v>
      </c>
      <c r="E15" s="161" t="s">
        <v>191</v>
      </c>
      <c r="F15" s="161" t="s">
        <v>441</v>
      </c>
      <c r="G15" s="161" t="s">
        <v>202</v>
      </c>
      <c r="H15" s="161" t="s">
        <v>442</v>
      </c>
      <c r="I15" s="161" t="s">
        <v>209</v>
      </c>
      <c r="J15" s="161" t="s">
        <v>443</v>
      </c>
      <c r="K15" s="161" t="s">
        <v>203</v>
      </c>
      <c r="L15" s="161" t="s">
        <v>210</v>
      </c>
      <c r="M15" s="161" t="s">
        <v>444</v>
      </c>
      <c r="N15" s="161" t="s">
        <v>445</v>
      </c>
      <c r="O15" s="161" t="s">
        <v>221</v>
      </c>
      <c r="P15" s="161" t="s">
        <v>215</v>
      </c>
      <c r="Q15" s="161" t="s">
        <v>446</v>
      </c>
      <c r="R15" s="161" t="s">
        <v>447</v>
      </c>
      <c r="S15" s="161" t="s">
        <v>448</v>
      </c>
      <c r="T15" s="161" t="s">
        <v>222</v>
      </c>
      <c r="U15" s="161" t="s">
        <v>449</v>
      </c>
      <c r="V15" s="161" t="s">
        <v>228</v>
      </c>
      <c r="W15" s="161" t="s">
        <v>450</v>
      </c>
      <c r="X15" s="161" t="s">
        <v>451</v>
      </c>
      <c r="Y15" s="161" t="s">
        <v>452</v>
      </c>
      <c r="Z15" s="161" t="s">
        <v>453</v>
      </c>
    </row>
    <row r="16" customFormat="false" ht="15" hidden="false" customHeight="true" outlineLevel="0" collapsed="false">
      <c r="B16" s="177" t="s">
        <v>461</v>
      </c>
      <c r="C16" s="173" t="n">
        <f aca="false">C$7</f>
        <v>5</v>
      </c>
      <c r="D16" s="173" t="n">
        <f aca="false">C16*D$11</f>
        <v>5</v>
      </c>
      <c r="E16" s="173" t="n">
        <f aca="false">D16*E$11</f>
        <v>4.6</v>
      </c>
      <c r="F16" s="173" t="n">
        <f aca="false">E16*F$11</f>
        <v>4.232</v>
      </c>
      <c r="G16" s="173" t="n">
        <f aca="false">F16*G$11</f>
        <v>3.97808</v>
      </c>
      <c r="H16" s="173" t="n">
        <f aca="false">G16*H$11</f>
        <v>3.7393952</v>
      </c>
      <c r="I16" s="173" t="n">
        <f aca="false">H16*I$11</f>
        <v>3.55242544</v>
      </c>
      <c r="J16" s="173" t="n">
        <f aca="false">I16*J$11</f>
        <v>3.374804168</v>
      </c>
      <c r="K16" s="173" t="n">
        <f aca="false">J16*K$11</f>
        <v>3.2060639596</v>
      </c>
      <c r="L16" s="173" t="n">
        <f aca="false">K16*L$11</f>
        <v>3.077821401216</v>
      </c>
      <c r="M16" s="173" t="n">
        <f aca="false">L16*M$11</f>
        <v>2.95470854516736</v>
      </c>
      <c r="N16" s="173" t="n">
        <f aca="false">M16*N$11</f>
        <v>2.83652020336067</v>
      </c>
      <c r="O16" s="173" t="n">
        <f aca="false">N16*O$11</f>
        <v>2.75142459725985</v>
      </c>
      <c r="P16" s="173" t="n">
        <f aca="false">O16*P$11</f>
        <v>2.66888185934205</v>
      </c>
      <c r="Q16" s="173" t="n">
        <f aca="false">P16*Q$11</f>
        <v>2.58881540356179</v>
      </c>
      <c r="R16" s="173" t="n">
        <f aca="false">Q16*R$11</f>
        <v>2.51115094145493</v>
      </c>
      <c r="S16" s="173" t="n">
        <f aca="false">R16*S$11</f>
        <v>2.43581641321129</v>
      </c>
      <c r="T16" s="173" t="n">
        <f aca="false">S16*T$11</f>
        <v>2.36274192081495</v>
      </c>
      <c r="U16" s="173" t="n">
        <f aca="false">T16*U$11</f>
        <v>2.2918596631905</v>
      </c>
      <c r="V16" s="173" t="n">
        <f aca="false">U16*V$11</f>
        <v>2.22310387329478</v>
      </c>
      <c r="W16" s="173" t="n">
        <f aca="false">V16*W$11</f>
        <v>2.15641075709594</v>
      </c>
      <c r="X16" s="173" t="n">
        <f aca="false">W16*X$11</f>
        <v>2.09171843438306</v>
      </c>
      <c r="Y16" s="173" t="n">
        <f aca="false">X16*Y$11</f>
        <v>2.02896688135157</v>
      </c>
      <c r="Z16" s="173" t="n">
        <f aca="false">Y16*Z$11</f>
        <v>1.96809787491102</v>
      </c>
    </row>
    <row r="17" customFormat="false" ht="15" hidden="false" customHeight="true" outlineLevel="0" collapsed="false">
      <c r="B17" s="177" t="s">
        <v>462</v>
      </c>
      <c r="C17" s="178"/>
      <c r="D17" s="173" t="n">
        <f aca="false">D$7</f>
        <v>5</v>
      </c>
      <c r="E17" s="173" t="n">
        <f aca="false">D17*E$11</f>
        <v>4.6</v>
      </c>
      <c r="F17" s="173" t="n">
        <f aca="false">E17*F$11</f>
        <v>4.232</v>
      </c>
      <c r="G17" s="173" t="n">
        <f aca="false">F17*G$11</f>
        <v>3.97808</v>
      </c>
      <c r="H17" s="173" t="n">
        <f aca="false">G17*H$11</f>
        <v>3.7393952</v>
      </c>
      <c r="I17" s="173" t="n">
        <f aca="false">H17*I$11</f>
        <v>3.55242544</v>
      </c>
      <c r="J17" s="173" t="n">
        <f aca="false">I17*J$11</f>
        <v>3.374804168</v>
      </c>
      <c r="K17" s="173" t="n">
        <f aca="false">J17*K$11</f>
        <v>3.2060639596</v>
      </c>
      <c r="L17" s="173" t="n">
        <f aca="false">K17*L$11</f>
        <v>3.077821401216</v>
      </c>
      <c r="M17" s="173" t="n">
        <f aca="false">L17*M$11</f>
        <v>2.95470854516736</v>
      </c>
      <c r="N17" s="173" t="n">
        <f aca="false">M17*N$11</f>
        <v>2.83652020336067</v>
      </c>
      <c r="O17" s="173" t="n">
        <f aca="false">N17*O$11</f>
        <v>2.75142459725985</v>
      </c>
      <c r="P17" s="173" t="n">
        <f aca="false">O17*P$11</f>
        <v>2.66888185934205</v>
      </c>
      <c r="Q17" s="173" t="n">
        <f aca="false">P17*Q$11</f>
        <v>2.58881540356179</v>
      </c>
      <c r="R17" s="173" t="n">
        <f aca="false">Q17*R$11</f>
        <v>2.51115094145493</v>
      </c>
      <c r="S17" s="173" t="n">
        <f aca="false">R17*S$11</f>
        <v>2.43581641321129</v>
      </c>
      <c r="T17" s="173" t="n">
        <f aca="false">S17*T$11</f>
        <v>2.36274192081495</v>
      </c>
      <c r="U17" s="173" t="n">
        <f aca="false">T17*U$11</f>
        <v>2.2918596631905</v>
      </c>
      <c r="V17" s="173" t="n">
        <f aca="false">U17*V$11</f>
        <v>2.22310387329478</v>
      </c>
      <c r="W17" s="173" t="n">
        <f aca="false">V17*W$11</f>
        <v>2.15641075709594</v>
      </c>
      <c r="X17" s="173" t="n">
        <f aca="false">W17*X$11</f>
        <v>2.09171843438306</v>
      </c>
      <c r="Y17" s="173" t="n">
        <f aca="false">X17*Y$11</f>
        <v>2.02896688135157</v>
      </c>
      <c r="Z17" s="173" t="n">
        <f aca="false">Y17*Z$11</f>
        <v>1.96809787491102</v>
      </c>
    </row>
    <row r="18" customFormat="false" ht="15" hidden="false" customHeight="true" outlineLevel="0" collapsed="false">
      <c r="B18" s="179" t="s">
        <v>463</v>
      </c>
      <c r="C18" s="178"/>
      <c r="D18" s="178"/>
      <c r="E18" s="173" t="n">
        <f aca="false">E$7</f>
        <v>15</v>
      </c>
      <c r="F18" s="173" t="n">
        <f aca="false">E18*F$11</f>
        <v>13.8</v>
      </c>
      <c r="G18" s="173" t="n">
        <f aca="false">F18*G$11</f>
        <v>12.972</v>
      </c>
      <c r="H18" s="173" t="n">
        <f aca="false">G18*H$11</f>
        <v>12.19368</v>
      </c>
      <c r="I18" s="173" t="n">
        <f aca="false">H18*I$11</f>
        <v>11.583996</v>
      </c>
      <c r="J18" s="173" t="n">
        <f aca="false">I18*J$11</f>
        <v>11.0047962</v>
      </c>
      <c r="K18" s="173" t="n">
        <f aca="false">J18*K$11</f>
        <v>10.45455639</v>
      </c>
      <c r="L18" s="173" t="n">
        <f aca="false">K18*L$11</f>
        <v>10.0363741344</v>
      </c>
      <c r="M18" s="173" t="n">
        <f aca="false">L18*M$11</f>
        <v>9.634919169024</v>
      </c>
      <c r="N18" s="173" t="n">
        <f aca="false">M18*N$11</f>
        <v>9.24952240226304</v>
      </c>
      <c r="O18" s="173" t="n">
        <f aca="false">N18*O$11</f>
        <v>8.97203673019515</v>
      </c>
      <c r="P18" s="173" t="n">
        <f aca="false">O18*P$11</f>
        <v>8.70287562828929</v>
      </c>
      <c r="Q18" s="173" t="n">
        <f aca="false">P18*Q$11</f>
        <v>8.44178935944061</v>
      </c>
      <c r="R18" s="173" t="n">
        <f aca="false">Q18*R$11</f>
        <v>8.18853567865739</v>
      </c>
      <c r="S18" s="173" t="n">
        <f aca="false">R18*S$11</f>
        <v>7.94287960829767</v>
      </c>
      <c r="T18" s="173" t="n">
        <f aca="false">S18*T$11</f>
        <v>7.70459322004874</v>
      </c>
      <c r="U18" s="173" t="n">
        <f aca="false">T18*U$11</f>
        <v>7.47345542344728</v>
      </c>
      <c r="V18" s="173" t="n">
        <f aca="false">U18*V$11</f>
        <v>7.24925176074386</v>
      </c>
      <c r="W18" s="173" t="n">
        <f aca="false">V18*W$11</f>
        <v>7.03177420792154</v>
      </c>
      <c r="X18" s="173" t="n">
        <f aca="false">W18*X$11</f>
        <v>6.8208209816839</v>
      </c>
      <c r="Y18" s="173" t="n">
        <f aca="false">X18*Y$11</f>
        <v>6.61619635223338</v>
      </c>
      <c r="Z18" s="173" t="n">
        <f aca="false">Y18*Z$11</f>
        <v>6.41771046166638</v>
      </c>
    </row>
    <row r="19" customFormat="false" ht="15" hidden="false" customHeight="true" outlineLevel="0" collapsed="false">
      <c r="B19" s="179" t="s">
        <v>464</v>
      </c>
      <c r="C19" s="178"/>
      <c r="D19" s="178"/>
      <c r="E19" s="178"/>
      <c r="F19" s="173" t="n">
        <f aca="false">F$7</f>
        <v>15</v>
      </c>
      <c r="G19" s="173" t="n">
        <f aca="false">F19*G$11</f>
        <v>14.1</v>
      </c>
      <c r="H19" s="173" t="n">
        <f aca="false">G19*H$11</f>
        <v>13.254</v>
      </c>
      <c r="I19" s="173" t="n">
        <f aca="false">H19*I$11</f>
        <v>12.5913</v>
      </c>
      <c r="J19" s="173" t="n">
        <f aca="false">I19*J$11</f>
        <v>11.961735</v>
      </c>
      <c r="K19" s="173" t="n">
        <f aca="false">J19*K$11</f>
        <v>11.36364825</v>
      </c>
      <c r="L19" s="173" t="n">
        <f aca="false">K19*L$11</f>
        <v>10.90910232</v>
      </c>
      <c r="M19" s="173" t="n">
        <f aca="false">L19*M$11</f>
        <v>10.4727382272</v>
      </c>
      <c r="N19" s="173" t="n">
        <f aca="false">M19*N$11</f>
        <v>10.053828698112</v>
      </c>
      <c r="O19" s="173" t="n">
        <f aca="false">N19*O$11</f>
        <v>9.75221383716864</v>
      </c>
      <c r="P19" s="173" t="n">
        <f aca="false">O19*P$11</f>
        <v>9.45964742205358</v>
      </c>
      <c r="Q19" s="173" t="n">
        <f aca="false">P19*Q$11</f>
        <v>9.17585799939197</v>
      </c>
      <c r="R19" s="173" t="n">
        <f aca="false">Q19*R$11</f>
        <v>8.90058225941021</v>
      </c>
      <c r="S19" s="173" t="n">
        <f aca="false">R19*S$11</f>
        <v>8.6335647916279</v>
      </c>
      <c r="T19" s="173" t="n">
        <f aca="false">S19*T$11</f>
        <v>8.37455784787907</v>
      </c>
      <c r="U19" s="173" t="n">
        <f aca="false">T19*U$11</f>
        <v>8.1233211124427</v>
      </c>
      <c r="V19" s="173" t="n">
        <f aca="false">U19*V$11</f>
        <v>7.87962147906942</v>
      </c>
      <c r="W19" s="173" t="n">
        <f aca="false">V19*W$11</f>
        <v>7.64323283469733</v>
      </c>
      <c r="X19" s="173" t="n">
        <f aca="false">W19*X$11</f>
        <v>7.41393584965641</v>
      </c>
      <c r="Y19" s="173" t="n">
        <f aca="false">X19*Y$11</f>
        <v>7.19151777416672</v>
      </c>
      <c r="Z19" s="173" t="n">
        <f aca="false">Y19*Z$11</f>
        <v>6.97577224094172</v>
      </c>
    </row>
    <row r="20" customFormat="false" ht="15" hidden="false" customHeight="true" outlineLevel="0" collapsed="false">
      <c r="B20" s="180" t="s">
        <v>465</v>
      </c>
      <c r="C20" s="178"/>
      <c r="D20" s="178"/>
      <c r="E20" s="178"/>
      <c r="F20" s="178"/>
      <c r="G20" s="173" t="n">
        <f aca="false">G$7</f>
        <v>50</v>
      </c>
      <c r="H20" s="173" t="n">
        <f aca="false">G20*H$11</f>
        <v>47</v>
      </c>
      <c r="I20" s="173" t="n">
        <f aca="false">H20*I$11</f>
        <v>44.65</v>
      </c>
      <c r="J20" s="173" t="n">
        <f aca="false">I20*J$11</f>
        <v>42.4175</v>
      </c>
      <c r="K20" s="173" t="n">
        <f aca="false">J20*K$11</f>
        <v>40.296625</v>
      </c>
      <c r="L20" s="173" t="n">
        <f aca="false">K20*L$11</f>
        <v>38.68476</v>
      </c>
      <c r="M20" s="173" t="n">
        <f aca="false">L20*M$11</f>
        <v>37.1373696</v>
      </c>
      <c r="N20" s="173" t="n">
        <f aca="false">M20*N$11</f>
        <v>35.651874816</v>
      </c>
      <c r="O20" s="173" t="n">
        <f aca="false">N20*O$11</f>
        <v>34.58231857152</v>
      </c>
      <c r="P20" s="173" t="n">
        <f aca="false">O20*P$11</f>
        <v>33.5448490143744</v>
      </c>
      <c r="Q20" s="173" t="n">
        <f aca="false">P20*Q$11</f>
        <v>32.5385035439432</v>
      </c>
      <c r="R20" s="173" t="n">
        <f aca="false">Q20*R$11</f>
        <v>31.5623484376249</v>
      </c>
      <c r="S20" s="173" t="n">
        <f aca="false">R20*S$11</f>
        <v>30.6154779844961</v>
      </c>
      <c r="T20" s="173" t="n">
        <f aca="false">S20*T$11</f>
        <v>29.6970136449612</v>
      </c>
      <c r="U20" s="173" t="n">
        <f aca="false">T20*U$11</f>
        <v>28.8061032356124</v>
      </c>
      <c r="V20" s="173" t="n">
        <f aca="false">U20*V$11</f>
        <v>27.941920138544</v>
      </c>
      <c r="W20" s="173" t="n">
        <f aca="false">V20*W$11</f>
        <v>27.1036625343877</v>
      </c>
      <c r="X20" s="173" t="n">
        <f aca="false">W20*X$11</f>
        <v>26.2905526583561</v>
      </c>
      <c r="Y20" s="173" t="n">
        <f aca="false">X20*Y$11</f>
        <v>25.5018360786054</v>
      </c>
      <c r="Z20" s="173" t="n">
        <f aca="false">Y20*Z$11</f>
        <v>24.7367809962472</v>
      </c>
    </row>
    <row r="21" customFormat="false" ht="15" hidden="false" customHeight="true" outlineLevel="0" collapsed="false">
      <c r="B21" s="180" t="s">
        <v>466</v>
      </c>
      <c r="C21" s="178"/>
      <c r="D21" s="178"/>
      <c r="E21" s="178"/>
      <c r="F21" s="178"/>
      <c r="G21" s="178"/>
      <c r="H21" s="173" t="n">
        <f aca="false">H$7</f>
        <v>50</v>
      </c>
      <c r="I21" s="173" t="n">
        <f aca="false">H21*I$11</f>
        <v>47.5</v>
      </c>
      <c r="J21" s="173" t="n">
        <f aca="false">I21*J$11</f>
        <v>45.125</v>
      </c>
      <c r="K21" s="173" t="n">
        <f aca="false">J21*K$11</f>
        <v>42.86875</v>
      </c>
      <c r="L21" s="173" t="n">
        <f aca="false">K21*L$11</f>
        <v>41.154</v>
      </c>
      <c r="M21" s="173" t="n">
        <f aca="false">L21*M$11</f>
        <v>39.50784</v>
      </c>
      <c r="N21" s="173" t="n">
        <f aca="false">M21*N$11</f>
        <v>37.9275264</v>
      </c>
      <c r="O21" s="173" t="n">
        <f aca="false">N21*O$11</f>
        <v>36.789700608</v>
      </c>
      <c r="P21" s="173" t="n">
        <f aca="false">O21*P$11</f>
        <v>35.68600958976</v>
      </c>
      <c r="Q21" s="173" t="n">
        <f aca="false">P21*Q$11</f>
        <v>34.6154293020672</v>
      </c>
      <c r="R21" s="173" t="n">
        <f aca="false">Q21*R$11</f>
        <v>33.5769664230052</v>
      </c>
      <c r="S21" s="173" t="n">
        <f aca="false">R21*S$11</f>
        <v>32.569657430315</v>
      </c>
      <c r="T21" s="173" t="n">
        <f aca="false">S21*T$11</f>
        <v>31.5925677074056</v>
      </c>
      <c r="U21" s="173" t="n">
        <f aca="false">T21*U$11</f>
        <v>30.6447906761834</v>
      </c>
      <c r="V21" s="173" t="n">
        <f aca="false">U21*V$11</f>
        <v>29.7254469558979</v>
      </c>
      <c r="W21" s="173" t="n">
        <f aca="false">V21*W$11</f>
        <v>28.833683547221</v>
      </c>
      <c r="X21" s="173" t="n">
        <f aca="false">W21*X$11</f>
        <v>27.9686730408043</v>
      </c>
      <c r="Y21" s="173" t="n">
        <f aca="false">X21*Y$11</f>
        <v>27.1296128495802</v>
      </c>
      <c r="Z21" s="173" t="n">
        <f aca="false">Y21*Z$11</f>
        <v>26.3157244640928</v>
      </c>
    </row>
    <row r="22" customFormat="false" ht="15" hidden="false" customHeight="true" outlineLevel="0" collapsed="false">
      <c r="B22" s="181" t="s">
        <v>467</v>
      </c>
      <c r="C22" s="178"/>
      <c r="D22" s="178"/>
      <c r="E22" s="178"/>
      <c r="F22" s="178"/>
      <c r="G22" s="178"/>
      <c r="H22" s="178"/>
      <c r="I22" s="173" t="n">
        <f aca="false">I$7</f>
        <v>100</v>
      </c>
      <c r="J22" s="173" t="n">
        <f aca="false">I22*J$11</f>
        <v>95</v>
      </c>
      <c r="K22" s="173" t="n">
        <f aca="false">J22*K$11</f>
        <v>90.25</v>
      </c>
      <c r="L22" s="173" t="n">
        <f aca="false">K22*L$11</f>
        <v>86.64</v>
      </c>
      <c r="M22" s="173" t="n">
        <f aca="false">L22*M$11</f>
        <v>83.1744</v>
      </c>
      <c r="N22" s="173" t="n">
        <f aca="false">M22*N$11</f>
        <v>79.847424</v>
      </c>
      <c r="O22" s="173" t="n">
        <f aca="false">N22*O$11</f>
        <v>77.45200128</v>
      </c>
      <c r="P22" s="173" t="n">
        <f aca="false">O22*P$11</f>
        <v>75.1284412416</v>
      </c>
      <c r="Q22" s="173" t="n">
        <f aca="false">P22*Q$11</f>
        <v>72.874588004352</v>
      </c>
      <c r="R22" s="173" t="n">
        <f aca="false">Q22*R$11</f>
        <v>70.6883503642214</v>
      </c>
      <c r="S22" s="173" t="n">
        <f aca="false">R22*S$11</f>
        <v>68.5676998532948</v>
      </c>
      <c r="T22" s="173" t="n">
        <f aca="false">S22*T$11</f>
        <v>66.5106688576959</v>
      </c>
      <c r="U22" s="173" t="n">
        <f aca="false">T22*U$11</f>
        <v>64.5153487919651</v>
      </c>
      <c r="V22" s="173" t="n">
        <f aca="false">U22*V$11</f>
        <v>62.5798883282061</v>
      </c>
      <c r="W22" s="173" t="n">
        <f aca="false">V22*W$11</f>
        <v>60.7024916783599</v>
      </c>
      <c r="X22" s="173" t="n">
        <f aca="false">W22*X$11</f>
        <v>58.8814169280091</v>
      </c>
      <c r="Y22" s="173" t="n">
        <f aca="false">X22*Y$11</f>
        <v>57.1149744201689</v>
      </c>
      <c r="Z22" s="173" t="n">
        <f aca="false">Y22*Z$11</f>
        <v>55.4015251875638</v>
      </c>
    </row>
    <row r="23" customFormat="false" ht="15" hidden="false" customHeight="true" outlineLevel="0" collapsed="false">
      <c r="B23" s="181" t="s">
        <v>468</v>
      </c>
      <c r="C23" s="178"/>
      <c r="D23" s="178"/>
      <c r="E23" s="178"/>
      <c r="F23" s="178"/>
      <c r="G23" s="178"/>
      <c r="H23" s="178"/>
      <c r="I23" s="178"/>
      <c r="J23" s="173" t="n">
        <f aca="false">J$7</f>
        <v>100</v>
      </c>
      <c r="K23" s="173" t="n">
        <f aca="false">J23*K$11</f>
        <v>95</v>
      </c>
      <c r="L23" s="173" t="n">
        <f aca="false">K23*L$11</f>
        <v>91.2</v>
      </c>
      <c r="M23" s="173" t="n">
        <f aca="false">L23*M$11</f>
        <v>87.552</v>
      </c>
      <c r="N23" s="173" t="n">
        <f aca="false">M23*N$11</f>
        <v>84.04992</v>
      </c>
      <c r="O23" s="173" t="n">
        <f aca="false">N23*O$11</f>
        <v>81.5284224</v>
      </c>
      <c r="P23" s="173" t="n">
        <f aca="false">O23*P$11</f>
        <v>79.082569728</v>
      </c>
      <c r="Q23" s="173" t="n">
        <f aca="false">P23*Q$11</f>
        <v>76.71009263616</v>
      </c>
      <c r="R23" s="173" t="n">
        <f aca="false">Q23*R$11</f>
        <v>74.4087898570752</v>
      </c>
      <c r="S23" s="173" t="n">
        <f aca="false">R23*S$11</f>
        <v>72.1765261613629</v>
      </c>
      <c r="T23" s="173" t="n">
        <f aca="false">S23*T$11</f>
        <v>70.011230376522</v>
      </c>
      <c r="U23" s="173" t="n">
        <f aca="false">T23*U$11</f>
        <v>67.9108934652264</v>
      </c>
      <c r="V23" s="173" t="n">
        <f aca="false">U23*V$11</f>
        <v>65.8735666612696</v>
      </c>
      <c r="W23" s="173" t="n">
        <f aca="false">V23*W$11</f>
        <v>63.8973596614315</v>
      </c>
      <c r="X23" s="173" t="n">
        <f aca="false">W23*X$11</f>
        <v>61.9804388715885</v>
      </c>
      <c r="Y23" s="173" t="n">
        <f aca="false">X23*Y$11</f>
        <v>60.1210257054409</v>
      </c>
      <c r="Z23" s="173" t="n">
        <f aca="false">Y23*Z$11</f>
        <v>58.3173949342777</v>
      </c>
    </row>
    <row r="24" customFormat="false" ht="15" hidden="false" customHeight="true" outlineLevel="0" collapsed="false">
      <c r="B24" s="181" t="s">
        <v>469</v>
      </c>
      <c r="C24" s="178"/>
      <c r="D24" s="178"/>
      <c r="E24" s="178"/>
      <c r="F24" s="178"/>
      <c r="G24" s="178"/>
      <c r="H24" s="178"/>
      <c r="I24" s="178"/>
      <c r="J24" s="178"/>
      <c r="K24" s="173" t="n">
        <f aca="false">K$7</f>
        <v>100</v>
      </c>
      <c r="L24" s="173" t="n">
        <f aca="false">K24*L$11</f>
        <v>96</v>
      </c>
      <c r="M24" s="173" t="n">
        <f aca="false">L24*M$11</f>
        <v>92.16</v>
      </c>
      <c r="N24" s="173" t="n">
        <f aca="false">M24*N$11</f>
        <v>88.4736</v>
      </c>
      <c r="O24" s="173" t="n">
        <f aca="false">N24*O$11</f>
        <v>85.819392</v>
      </c>
      <c r="P24" s="173" t="n">
        <f aca="false">O24*P$11</f>
        <v>83.24481024</v>
      </c>
      <c r="Q24" s="173" t="n">
        <f aca="false">P24*Q$11</f>
        <v>80.7474659328</v>
      </c>
      <c r="R24" s="173" t="n">
        <f aca="false">Q24*R$11</f>
        <v>78.325041954816</v>
      </c>
      <c r="S24" s="173" t="n">
        <f aca="false">R24*S$11</f>
        <v>75.9752906961715</v>
      </c>
      <c r="T24" s="173" t="n">
        <f aca="false">S24*T$11</f>
        <v>73.6960319752864</v>
      </c>
      <c r="U24" s="173" t="n">
        <f aca="false">T24*U$11</f>
        <v>71.4851510160278</v>
      </c>
      <c r="V24" s="173" t="n">
        <f aca="false">U24*V$11</f>
        <v>69.3405964855469</v>
      </c>
      <c r="W24" s="173" t="n">
        <f aca="false">V24*W$11</f>
        <v>67.2603785909805</v>
      </c>
      <c r="X24" s="173" t="n">
        <f aca="false">W24*X$11</f>
        <v>65.2425672332511</v>
      </c>
      <c r="Y24" s="173" t="n">
        <f aca="false">X24*Y$11</f>
        <v>63.2852902162536</v>
      </c>
      <c r="Z24" s="173" t="n">
        <f aca="false">Y24*Z$11</f>
        <v>61.386731509766</v>
      </c>
    </row>
    <row r="25" customFormat="false" ht="15" hidden="false" customHeight="true" outlineLevel="0" collapsed="false">
      <c r="B25" s="182" t="s">
        <v>470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3" t="n">
        <f aca="false">L$7</f>
        <v>150</v>
      </c>
      <c r="M25" s="173" t="n">
        <f aca="false">L25*M$11</f>
        <v>144</v>
      </c>
      <c r="N25" s="173" t="n">
        <f aca="false">M25*N$11</f>
        <v>138.24</v>
      </c>
      <c r="O25" s="173" t="n">
        <f aca="false">N25*O$11</f>
        <v>134.0928</v>
      </c>
      <c r="P25" s="173" t="n">
        <f aca="false">O25*P$11</f>
        <v>130.070016</v>
      </c>
      <c r="Q25" s="173" t="n">
        <f aca="false">P25*Q$11</f>
        <v>126.16791552</v>
      </c>
      <c r="R25" s="173" t="n">
        <f aca="false">Q25*R$11</f>
        <v>122.3828780544</v>
      </c>
      <c r="S25" s="173" t="n">
        <f aca="false">R25*S$11</f>
        <v>118.711391712768</v>
      </c>
      <c r="T25" s="173" t="n">
        <f aca="false">S25*T$11</f>
        <v>115.150049961385</v>
      </c>
      <c r="U25" s="173" t="n">
        <f aca="false">T25*U$11</f>
        <v>111.695548462543</v>
      </c>
      <c r="V25" s="173" t="n">
        <f aca="false">U25*V$11</f>
        <v>108.344682008667</v>
      </c>
      <c r="W25" s="173" t="n">
        <f aca="false">V25*W$11</f>
        <v>105.094341548407</v>
      </c>
      <c r="X25" s="173" t="n">
        <f aca="false">W25*X$11</f>
        <v>101.941511301955</v>
      </c>
      <c r="Y25" s="173" t="n">
        <f aca="false">X25*Y$11</f>
        <v>98.8832659628962</v>
      </c>
      <c r="Z25" s="173" t="n">
        <f aca="false">Y25*Z$11</f>
        <v>95.9167679840093</v>
      </c>
    </row>
    <row r="26" customFormat="false" ht="15" hidden="false" customHeight="true" outlineLevel="0" collapsed="false">
      <c r="B26" s="182" t="s">
        <v>471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3" t="n">
        <f aca="false">M$7</f>
        <v>150</v>
      </c>
      <c r="N26" s="173" t="n">
        <f aca="false">M26*N$11</f>
        <v>144</v>
      </c>
      <c r="O26" s="173" t="n">
        <f aca="false">N26*O$11</f>
        <v>139.68</v>
      </c>
      <c r="P26" s="173" t="n">
        <f aca="false">O26*P$11</f>
        <v>135.4896</v>
      </c>
      <c r="Q26" s="173" t="n">
        <f aca="false">P26*Q$11</f>
        <v>131.424912</v>
      </c>
      <c r="R26" s="173" t="n">
        <f aca="false">Q26*R$11</f>
        <v>127.48216464</v>
      </c>
      <c r="S26" s="173" t="n">
        <f aca="false">R26*S$11</f>
        <v>123.6576997008</v>
      </c>
      <c r="T26" s="173" t="n">
        <f aca="false">S26*T$11</f>
        <v>119.947968709776</v>
      </c>
      <c r="U26" s="173" t="n">
        <f aca="false">T26*U$11</f>
        <v>116.349529648483</v>
      </c>
      <c r="V26" s="173" t="n">
        <f aca="false">U26*V$11</f>
        <v>112.859043759028</v>
      </c>
      <c r="W26" s="173" t="n">
        <f aca="false">V26*W$11</f>
        <v>109.473272446257</v>
      </c>
      <c r="X26" s="173" t="n">
        <f aca="false">W26*X$11</f>
        <v>106.18907427287</v>
      </c>
      <c r="Y26" s="173" t="n">
        <f aca="false">X26*Y$11</f>
        <v>103.003402044684</v>
      </c>
      <c r="Z26" s="173" t="n">
        <f aca="false">Y26*Z$11</f>
        <v>99.9132999833431</v>
      </c>
    </row>
    <row r="27" customFormat="false" ht="15" hidden="false" customHeight="true" outlineLevel="0" collapsed="false">
      <c r="B27" s="182" t="s">
        <v>472</v>
      </c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3" t="n">
        <f aca="false">N$7</f>
        <v>150</v>
      </c>
      <c r="O27" s="173" t="n">
        <f aca="false">N27*O$11</f>
        <v>145.5</v>
      </c>
      <c r="P27" s="173" t="n">
        <f aca="false">O27*P$11</f>
        <v>141.135</v>
      </c>
      <c r="Q27" s="173" t="n">
        <f aca="false">P27*Q$11</f>
        <v>136.90095</v>
      </c>
      <c r="R27" s="173" t="n">
        <f aca="false">Q27*R$11</f>
        <v>132.7939215</v>
      </c>
      <c r="S27" s="173" t="n">
        <f aca="false">R27*S$11</f>
        <v>128.810103855</v>
      </c>
      <c r="T27" s="173" t="n">
        <f aca="false">S27*T$11</f>
        <v>124.94580073935</v>
      </c>
      <c r="U27" s="173" t="n">
        <f aca="false">T27*U$11</f>
        <v>121.197426717169</v>
      </c>
      <c r="V27" s="173" t="n">
        <f aca="false">U27*V$11</f>
        <v>117.561503915654</v>
      </c>
      <c r="W27" s="173" t="n">
        <f aca="false">V27*W$11</f>
        <v>114.034658798185</v>
      </c>
      <c r="X27" s="173" t="n">
        <f aca="false">W27*X$11</f>
        <v>110.613619034239</v>
      </c>
      <c r="Y27" s="173" t="n">
        <f aca="false">X27*Y$11</f>
        <v>107.295210463212</v>
      </c>
      <c r="Z27" s="173" t="n">
        <f aca="false">Y27*Z$11</f>
        <v>104.076354149316</v>
      </c>
    </row>
    <row r="28" customFormat="false" ht="15" hidden="false" customHeight="true" outlineLevel="0" collapsed="false">
      <c r="B28" s="183" t="s">
        <v>473</v>
      </c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3" t="n">
        <f aca="false">O$7</f>
        <v>180</v>
      </c>
      <c r="P28" s="173" t="n">
        <f aca="false">O28*P$11</f>
        <v>174.6</v>
      </c>
      <c r="Q28" s="173" t="n">
        <f aca="false">P28*Q$11</f>
        <v>169.362</v>
      </c>
      <c r="R28" s="173" t="n">
        <f aca="false">Q28*R$11</f>
        <v>164.28114</v>
      </c>
      <c r="S28" s="173" t="n">
        <f aca="false">R28*S$11</f>
        <v>159.3527058</v>
      </c>
      <c r="T28" s="173" t="n">
        <f aca="false">S28*T$11</f>
        <v>154.572124626</v>
      </c>
      <c r="U28" s="173" t="n">
        <f aca="false">T28*U$11</f>
        <v>149.93496088722</v>
      </c>
      <c r="V28" s="173" t="n">
        <f aca="false">U28*V$11</f>
        <v>145.436912060603</v>
      </c>
      <c r="W28" s="173" t="n">
        <f aca="false">V28*W$11</f>
        <v>141.073804698785</v>
      </c>
      <c r="X28" s="173" t="n">
        <f aca="false">W28*X$11</f>
        <v>136.841590557822</v>
      </c>
      <c r="Y28" s="173" t="n">
        <f aca="false">X28*Y$11</f>
        <v>132.736342841087</v>
      </c>
      <c r="Z28" s="173" t="n">
        <f aca="false">Y28*Z$11</f>
        <v>128.754252555854</v>
      </c>
    </row>
    <row r="29" customFormat="false" ht="15" hidden="false" customHeight="true" outlineLevel="0" collapsed="false">
      <c r="B29" s="183" t="s">
        <v>474</v>
      </c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3" t="n">
        <f aca="false">P$7</f>
        <v>180</v>
      </c>
      <c r="Q29" s="173" t="n">
        <f aca="false">P29*Q$11</f>
        <v>174.6</v>
      </c>
      <c r="R29" s="173" t="n">
        <f aca="false">Q29*R$11</f>
        <v>169.362</v>
      </c>
      <c r="S29" s="173" t="n">
        <f aca="false">R29*S$11</f>
        <v>164.28114</v>
      </c>
      <c r="T29" s="173" t="n">
        <f aca="false">S29*T$11</f>
        <v>159.3527058</v>
      </c>
      <c r="U29" s="173" t="n">
        <f aca="false">T29*U$11</f>
        <v>154.572124626</v>
      </c>
      <c r="V29" s="173" t="n">
        <f aca="false">U29*V$11</f>
        <v>149.93496088722</v>
      </c>
      <c r="W29" s="173" t="n">
        <f aca="false">V29*W$11</f>
        <v>145.436912060603</v>
      </c>
      <c r="X29" s="173" t="n">
        <f aca="false">W29*X$11</f>
        <v>141.073804698785</v>
      </c>
      <c r="Y29" s="173" t="n">
        <f aca="false">X29*Y$11</f>
        <v>136.841590557822</v>
      </c>
      <c r="Z29" s="173" t="n">
        <f aca="false">Y29*Z$11</f>
        <v>132.736342841087</v>
      </c>
    </row>
    <row r="30" customFormat="false" ht="15" hidden="false" customHeight="true" outlineLevel="0" collapsed="false">
      <c r="B30" s="183" t="s">
        <v>475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3" t="n">
        <f aca="false">Q$7</f>
        <v>180</v>
      </c>
      <c r="R30" s="173" t="n">
        <f aca="false">Q30*R$11</f>
        <v>174.6</v>
      </c>
      <c r="S30" s="173" t="n">
        <f aca="false">R30*S$11</f>
        <v>169.362</v>
      </c>
      <c r="T30" s="173" t="n">
        <f aca="false">S30*T$11</f>
        <v>164.28114</v>
      </c>
      <c r="U30" s="173" t="n">
        <f aca="false">T30*U$11</f>
        <v>159.3527058</v>
      </c>
      <c r="V30" s="173" t="n">
        <f aca="false">U30*V$11</f>
        <v>154.572124626</v>
      </c>
      <c r="W30" s="173" t="n">
        <f aca="false">V30*W$11</f>
        <v>149.93496088722</v>
      </c>
      <c r="X30" s="173" t="n">
        <f aca="false">W30*X$11</f>
        <v>145.436912060603</v>
      </c>
      <c r="Y30" s="173" t="n">
        <f aca="false">X30*Y$11</f>
        <v>141.073804698785</v>
      </c>
      <c r="Z30" s="173" t="n">
        <f aca="false">Y30*Z$11</f>
        <v>136.841590557822</v>
      </c>
    </row>
    <row r="31" customFormat="false" ht="15" hidden="false" customHeight="true" outlineLevel="0" collapsed="false">
      <c r="B31" s="183" t="s">
        <v>476</v>
      </c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3" t="n">
        <f aca="false">R$7</f>
        <v>180</v>
      </c>
      <c r="S31" s="173" t="n">
        <f aca="false">R31*S$11</f>
        <v>174.6</v>
      </c>
      <c r="T31" s="173" t="n">
        <f aca="false">S31*T$11</f>
        <v>169.362</v>
      </c>
      <c r="U31" s="173" t="n">
        <f aca="false">T31*U$11</f>
        <v>164.28114</v>
      </c>
      <c r="V31" s="173" t="n">
        <f aca="false">U31*V$11</f>
        <v>159.3527058</v>
      </c>
      <c r="W31" s="173" t="n">
        <f aca="false">V31*W$11</f>
        <v>154.572124626</v>
      </c>
      <c r="X31" s="173" t="n">
        <f aca="false">W31*X$11</f>
        <v>149.93496088722</v>
      </c>
      <c r="Y31" s="173" t="n">
        <f aca="false">X31*Y$11</f>
        <v>145.436912060603</v>
      </c>
      <c r="Z31" s="173" t="n">
        <f aca="false">Y31*Z$11</f>
        <v>141.073804698785</v>
      </c>
    </row>
    <row r="32" customFormat="false" ht="15" hidden="false" customHeight="true" outlineLevel="0" collapsed="false">
      <c r="B32" s="183" t="s">
        <v>477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3" t="n">
        <f aca="false">S$7</f>
        <v>180</v>
      </c>
      <c r="T32" s="173" t="n">
        <f aca="false">S32*T$11</f>
        <v>174.6</v>
      </c>
      <c r="U32" s="173" t="n">
        <f aca="false">T32*U$11</f>
        <v>169.362</v>
      </c>
      <c r="V32" s="173" t="n">
        <f aca="false">U32*V$11</f>
        <v>164.28114</v>
      </c>
      <c r="W32" s="173" t="n">
        <f aca="false">V32*W$11</f>
        <v>159.3527058</v>
      </c>
      <c r="X32" s="173" t="n">
        <f aca="false">W32*X$11</f>
        <v>154.572124626</v>
      </c>
      <c r="Y32" s="173" t="n">
        <f aca="false">X32*Y$11</f>
        <v>149.93496088722</v>
      </c>
      <c r="Z32" s="173" t="n">
        <f aca="false">Y32*Z$11</f>
        <v>145.436912060603</v>
      </c>
    </row>
    <row r="33" customFormat="false" ht="15" hidden="false" customHeight="true" outlineLevel="0" collapsed="false">
      <c r="B33" s="183" t="s">
        <v>478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3" t="n">
        <f aca="false">T$7</f>
        <v>180</v>
      </c>
      <c r="U33" s="173" t="n">
        <f aca="false">T33*U$11</f>
        <v>174.6</v>
      </c>
      <c r="V33" s="173" t="n">
        <f aca="false">U33*V$11</f>
        <v>169.362</v>
      </c>
      <c r="W33" s="173" t="n">
        <f aca="false">V33*W$11</f>
        <v>164.28114</v>
      </c>
      <c r="X33" s="173" t="n">
        <f aca="false">W33*X$11</f>
        <v>159.3527058</v>
      </c>
      <c r="Y33" s="173" t="n">
        <f aca="false">X33*Y$11</f>
        <v>154.572124626</v>
      </c>
      <c r="Z33" s="173" t="n">
        <f aca="false">Y33*Z$11</f>
        <v>149.93496088722</v>
      </c>
    </row>
    <row r="34" customFormat="false" ht="15" hidden="false" customHeight="true" outlineLevel="0" collapsed="false">
      <c r="B34" s="184" t="s">
        <v>479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3" t="n">
        <f aca="false">U$7</f>
        <v>200</v>
      </c>
      <c r="V34" s="173" t="n">
        <f aca="false">U34*V$11</f>
        <v>194</v>
      </c>
      <c r="W34" s="173" t="n">
        <f aca="false">V34*W$11</f>
        <v>188.18</v>
      </c>
      <c r="X34" s="173" t="n">
        <f aca="false">W34*X$11</f>
        <v>182.5346</v>
      </c>
      <c r="Y34" s="173" t="n">
        <f aca="false">X34*Y$11</f>
        <v>177.058562</v>
      </c>
      <c r="Z34" s="173" t="n">
        <f aca="false">Y34*Z$11</f>
        <v>171.74680514</v>
      </c>
    </row>
    <row r="35" customFormat="false" ht="15" hidden="false" customHeight="true" outlineLevel="0" collapsed="false">
      <c r="B35" s="184" t="s">
        <v>480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3" t="n">
        <f aca="false">V$7</f>
        <v>200</v>
      </c>
      <c r="W35" s="173" t="n">
        <f aca="false">V35*W$11</f>
        <v>194</v>
      </c>
      <c r="X35" s="173" t="n">
        <f aca="false">W35*X$11</f>
        <v>188.18</v>
      </c>
      <c r="Y35" s="173" t="n">
        <f aca="false">X35*Y$11</f>
        <v>182.5346</v>
      </c>
      <c r="Z35" s="173" t="n">
        <f aca="false">Y35*Z$11</f>
        <v>177.058562</v>
      </c>
    </row>
    <row r="36" customFormat="false" ht="15" hidden="false" customHeight="true" outlineLevel="0" collapsed="false">
      <c r="B36" s="184" t="s">
        <v>481</v>
      </c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3" t="n">
        <f aca="false">W$7</f>
        <v>200</v>
      </c>
      <c r="X36" s="173" t="n">
        <f aca="false">W36*X$11</f>
        <v>194</v>
      </c>
      <c r="Y36" s="173" t="n">
        <f aca="false">X36*Y$11</f>
        <v>188.18</v>
      </c>
      <c r="Z36" s="173" t="n">
        <f aca="false">Y36*Z$11</f>
        <v>182.5346</v>
      </c>
    </row>
    <row r="37" customFormat="false" ht="15" hidden="false" customHeight="true" outlineLevel="0" collapsed="false">
      <c r="B37" s="184" t="s">
        <v>482</v>
      </c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3" t="n">
        <f aca="false">X$7</f>
        <v>200</v>
      </c>
      <c r="Y37" s="173" t="n">
        <f aca="false">X37*Y$11</f>
        <v>194</v>
      </c>
      <c r="Z37" s="173" t="n">
        <f aca="false">Y37*Z$11</f>
        <v>188.18</v>
      </c>
    </row>
    <row r="38" customFormat="false" ht="15" hidden="false" customHeight="true" outlineLevel="0" collapsed="false">
      <c r="B38" s="184" t="s">
        <v>483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3" t="n">
        <f aca="false">Y$7</f>
        <v>200</v>
      </c>
      <c r="Z38" s="173" t="n">
        <f aca="false">Y38*Z$11</f>
        <v>194</v>
      </c>
    </row>
    <row r="39" customFormat="false" ht="15" hidden="false" customHeight="true" outlineLevel="0" collapsed="false">
      <c r="B39" s="184" t="s">
        <v>484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3" t="n">
        <f aca="false">Z$7</f>
        <v>200</v>
      </c>
    </row>
    <row r="40" customFormat="false" ht="23.25" hidden="false" customHeight="true" outlineLevel="0" collapsed="false">
      <c r="B40" s="181" t="s">
        <v>485</v>
      </c>
      <c r="C40" s="185" t="n">
        <f aca="false">SUM(C16:C39)</f>
        <v>5</v>
      </c>
      <c r="D40" s="185" t="n">
        <f aca="false">SUM(D16:D39)</f>
        <v>10</v>
      </c>
      <c r="E40" s="185" t="n">
        <f aca="false">SUM(E16:E39)</f>
        <v>24.2</v>
      </c>
      <c r="F40" s="185" t="n">
        <f aca="false">SUM(F16:F39)</f>
        <v>37.264</v>
      </c>
      <c r="G40" s="185" t="n">
        <f aca="false">SUM(G16:G39)</f>
        <v>85.02816</v>
      </c>
      <c r="H40" s="185" t="n">
        <f aca="false">SUM(H16:H39)</f>
        <v>129.9264704</v>
      </c>
      <c r="I40" s="185" t="n">
        <f aca="false">SUM(I16:I39)</f>
        <v>223.43014688</v>
      </c>
      <c r="J40" s="185" t="n">
        <f aca="false">SUM(J16:J39)</f>
        <v>312.258639536</v>
      </c>
      <c r="K40" s="185" t="n">
        <f aca="false">SUM(K16:K39)</f>
        <v>396.6457075592</v>
      </c>
      <c r="L40" s="185" t="n">
        <f aca="false">SUM(L16:L39)</f>
        <v>530.779879256832</v>
      </c>
      <c r="M40" s="185" t="n">
        <f aca="false">SUM(M16:M39)</f>
        <v>659.548684086559</v>
      </c>
      <c r="N40" s="185" t="n">
        <f aca="false">SUM(N16:N39)</f>
        <v>783.166736723096</v>
      </c>
      <c r="O40" s="185" t="n">
        <f aca="false">SUM(O16:O39)</f>
        <v>939.671734621403</v>
      </c>
      <c r="P40" s="185" t="n">
        <f aca="false">SUM(P16:P39)</f>
        <v>1091.48158258276</v>
      </c>
      <c r="Q40" s="185" t="n">
        <f aca="false">SUM(Q16:Q39)</f>
        <v>1238.73713510528</v>
      </c>
      <c r="R40" s="185" t="n">
        <f aca="false">SUM(R16:R39)</f>
        <v>1381.57502105212</v>
      </c>
      <c r="S40" s="185" t="n">
        <f aca="false">SUM(S16:S39)</f>
        <v>1520.12777042056</v>
      </c>
      <c r="T40" s="185" t="n">
        <f aca="false">SUM(T16:T39)</f>
        <v>1654.52393730794</v>
      </c>
      <c r="U40" s="185" t="n">
        <f aca="false">SUM(U16:U39)</f>
        <v>1804.8882191887</v>
      </c>
      <c r="V40" s="185" t="n">
        <f aca="false">SUM(V16:V39)</f>
        <v>1950.74157261304</v>
      </c>
      <c r="W40" s="185" t="n">
        <f aca="false">SUM(W16:W39)</f>
        <v>2092.21932543465</v>
      </c>
      <c r="X40" s="185" t="n">
        <f aca="false">SUM(X16:X39)</f>
        <v>2229.45274567161</v>
      </c>
      <c r="Y40" s="185" t="n">
        <f aca="false">SUM(Y16:Y39)</f>
        <v>2362.56916330146</v>
      </c>
      <c r="Z40" s="185" t="n">
        <f aca="false">SUM(Z16:Z39)</f>
        <v>2491.69208840242</v>
      </c>
    </row>
    <row r="42" customFormat="false" ht="15" hidden="false" customHeight="true" outlineLevel="0" collapsed="false">
      <c r="B42" s="176" t="s">
        <v>486</v>
      </c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customFormat="false" ht="15" hidden="false" customHeight="true" outlineLevel="0" collapsed="false">
      <c r="B43" s="162" t="s">
        <v>487</v>
      </c>
      <c r="C43" s="186" t="n">
        <f aca="false">C40*C10</f>
        <v>0</v>
      </c>
      <c r="D43" s="186" t="n">
        <f aca="false">D40*D10</f>
        <v>0</v>
      </c>
      <c r="E43" s="186" t="n">
        <f aca="false">E40*E10</f>
        <v>72.6</v>
      </c>
      <c r="F43" s="186" t="n">
        <f aca="false">F40*F10</f>
        <v>111.792</v>
      </c>
      <c r="G43" s="186" t="n">
        <f aca="false">G40*G10</f>
        <v>739.744992</v>
      </c>
      <c r="H43" s="186" t="n">
        <f aca="false">H40*H10</f>
        <v>1130.36029248</v>
      </c>
      <c r="I43" s="186" t="n">
        <f aca="false">I40*I10</f>
        <v>3463.16727664</v>
      </c>
      <c r="J43" s="186" t="n">
        <f aca="false">J40*J10</f>
        <v>4840.008912808</v>
      </c>
      <c r="K43" s="186" t="n">
        <f aca="false">K40*K10</f>
        <v>6148.0084671676</v>
      </c>
      <c r="L43" s="186" t="n">
        <f aca="false">L40*L10</f>
        <v>10934.0655126907</v>
      </c>
      <c r="M43" s="186" t="n">
        <f aca="false">M40*M10</f>
        <v>13586.7028921831</v>
      </c>
      <c r="N43" s="186" t="n">
        <f aca="false">N40*N10</f>
        <v>16133.2347764958</v>
      </c>
      <c r="O43" s="186" t="n">
        <f aca="false">O40*O10</f>
        <v>24901.3009674672</v>
      </c>
      <c r="P43" s="186" t="n">
        <f aca="false">P40*P10</f>
        <v>28924.2619384432</v>
      </c>
      <c r="Q43" s="186" t="n">
        <f aca="false">Q40*Q10</f>
        <v>32826.5340802899</v>
      </c>
      <c r="R43" s="186" t="n">
        <f aca="false">R40*R10</f>
        <v>36611.7380578812</v>
      </c>
      <c r="S43" s="186" t="n">
        <f aca="false">S40*S10</f>
        <v>40283.3859161448</v>
      </c>
      <c r="T43" s="186" t="n">
        <f aca="false">T40*T10</f>
        <v>43844.8843386604</v>
      </c>
      <c r="U43" s="186" t="n">
        <f aca="false">U40*U10</f>
        <v>57936.9118359573</v>
      </c>
      <c r="V43" s="186" t="n">
        <f aca="false">V40*V10</f>
        <v>62618.8044808786</v>
      </c>
      <c r="W43" s="186" t="n">
        <f aca="false">W40*W10</f>
        <v>67160.2403464523</v>
      </c>
      <c r="X43" s="186" t="n">
        <f aca="false">X40*X10</f>
        <v>71565.4331360587</v>
      </c>
      <c r="Y43" s="186" t="n">
        <f aca="false">Y40*Y10</f>
        <v>75838.4701419769</v>
      </c>
      <c r="Z43" s="186" t="n">
        <f aca="false">Z40*Z10</f>
        <v>79983.3160377176</v>
      </c>
    </row>
    <row r="44" customFormat="false" ht="15" hidden="false" customHeight="true" outlineLevel="0" collapsed="false">
      <c r="B44" s="171" t="s">
        <v>488</v>
      </c>
      <c r="C44" s="187" t="n">
        <f aca="false">C40*Phases!C16</f>
        <v>0</v>
      </c>
      <c r="D44" s="187" t="n">
        <f aca="false">D40*Phases!C16</f>
        <v>0</v>
      </c>
      <c r="E44" s="187" t="n">
        <f aca="false">E40*Phases!D16</f>
        <v>726</v>
      </c>
      <c r="F44" s="187" t="n">
        <f aca="false">F40*Phases!D16</f>
        <v>1117.92</v>
      </c>
      <c r="G44" s="187" t="n">
        <f aca="false">G40*Phases!E16</f>
        <v>5101.6896</v>
      </c>
      <c r="H44" s="187" t="n">
        <f aca="false">H40*Phases!E16</f>
        <v>7795.588224</v>
      </c>
      <c r="I44" s="187" t="n">
        <f aca="false">I40*Phases!F16</f>
        <v>22343.014688</v>
      </c>
      <c r="J44" s="187" t="n">
        <f aca="false">J40*Phases!F16</f>
        <v>31225.8639536</v>
      </c>
      <c r="K44" s="187" t="n">
        <f aca="false">K40*Phases!F16</f>
        <v>39664.57075592</v>
      </c>
      <c r="L44" s="187" t="n">
        <f aca="false">L40*Phases!G16</f>
        <v>69001.3843033882</v>
      </c>
      <c r="M44" s="187" t="n">
        <f aca="false">M40*Phases!G16</f>
        <v>85741.3289312526</v>
      </c>
      <c r="N44" s="187" t="n">
        <f aca="false">N40*Phases!G16</f>
        <v>101811.675774003</v>
      </c>
      <c r="O44" s="187" t="n">
        <f aca="false">O40*Phases!H16</f>
        <v>140950.760193211</v>
      </c>
      <c r="P44" s="187" t="n">
        <f aca="false">P40*Phases!H16</f>
        <v>163722.237387414</v>
      </c>
      <c r="Q44" s="187" t="n">
        <f aca="false">Q40*Phases!H16</f>
        <v>185810.570265792</v>
      </c>
      <c r="R44" s="187" t="n">
        <f aca="false">R40*Phases!H16</f>
        <v>207236.253157818</v>
      </c>
      <c r="S44" s="187" t="n">
        <f aca="false">S40*Phases!H16</f>
        <v>228019.165563084</v>
      </c>
      <c r="T44" s="187" t="n">
        <f aca="false">T40*Phases!H16</f>
        <v>248178.590596191</v>
      </c>
      <c r="U44" s="187" t="n">
        <f aca="false">U40*Phases!I16</f>
        <v>297806.556166136</v>
      </c>
      <c r="V44" s="187" t="n">
        <f aca="false">V40*Phases!I16</f>
        <v>321872.359481152</v>
      </c>
      <c r="W44" s="187" t="n">
        <f aca="false">W40*Phases!I16</f>
        <v>345216.188696717</v>
      </c>
      <c r="X44" s="187" t="n">
        <f aca="false">X40*Phases!I16</f>
        <v>367859.703035816</v>
      </c>
      <c r="Y44" s="187" t="n">
        <f aca="false">Y40*Phases!I16</f>
        <v>389823.911944741</v>
      </c>
      <c r="Z44" s="187" t="n">
        <f aca="false">Z40*Phases!I16</f>
        <v>411129.194586399</v>
      </c>
    </row>
    <row r="45" customFormat="false" ht="15" hidden="false" customHeight="true" outlineLevel="0" collapsed="false">
      <c r="B45" s="171" t="s">
        <v>489</v>
      </c>
      <c r="C45" s="187" t="n">
        <f aca="false">C40*Phases!C31</f>
        <v>2.5</v>
      </c>
      <c r="D45" s="187" t="n">
        <f aca="false">D40*Phases!C31</f>
        <v>5</v>
      </c>
      <c r="E45" s="187" t="n">
        <f aca="false">E40*Phases!D31</f>
        <v>42.35</v>
      </c>
      <c r="F45" s="187" t="n">
        <f aca="false">F40*Phases!D31</f>
        <v>65.212</v>
      </c>
      <c r="G45" s="187" t="n">
        <f aca="false">G40*Phases!E31</f>
        <v>239.7794112</v>
      </c>
      <c r="H45" s="187" t="n">
        <f aca="false">H40*Phases!E31</f>
        <v>366.392646528</v>
      </c>
      <c r="I45" s="187" t="n">
        <f aca="false">I40*Phases!F31</f>
        <v>893.72058752</v>
      </c>
      <c r="J45" s="187" t="n">
        <f aca="false">J40*Phases!F31</f>
        <v>1249.034558144</v>
      </c>
      <c r="K45" s="187" t="n">
        <f aca="false">K40*Phases!F31</f>
        <v>1586.5828302368</v>
      </c>
      <c r="L45" s="187" t="n">
        <f aca="false">L40*Phases!G31</f>
        <v>2706.97738420984</v>
      </c>
      <c r="M45" s="187" t="n">
        <f aca="false">M40*Phases!G31</f>
        <v>3363.69828884145</v>
      </c>
      <c r="N45" s="187" t="n">
        <f aca="false">N40*Phases!G31</f>
        <v>3994.15035728779</v>
      </c>
      <c r="O45" s="187" t="n">
        <f aca="false">O40*Phases!H31</f>
        <v>4886.2930200313</v>
      </c>
      <c r="P45" s="187" t="n">
        <f aca="false">P40*Phases!H31</f>
        <v>5675.70422943036</v>
      </c>
      <c r="Q45" s="187" t="n">
        <f aca="false">Q40*Phases!H31</f>
        <v>6441.43310254745</v>
      </c>
      <c r="R45" s="187" t="n">
        <f aca="false">R40*Phases!H31</f>
        <v>7184.19010947102</v>
      </c>
      <c r="S45" s="187" t="n">
        <f aca="false">S40*Phases!H31</f>
        <v>7904.66440618689</v>
      </c>
      <c r="T45" s="187" t="n">
        <f aca="false">T40*Phases!H31</f>
        <v>8603.52447400129</v>
      </c>
      <c r="U45" s="187" t="n">
        <f aca="false">U40*Phases!I31</f>
        <v>10414.2050247188</v>
      </c>
      <c r="V45" s="187" t="n">
        <f aca="false">V40*Phases!I31</f>
        <v>11255.7788739772</v>
      </c>
      <c r="W45" s="187" t="n">
        <f aca="false">W40*Phases!I31</f>
        <v>12072.1055077579</v>
      </c>
      <c r="X45" s="187" t="n">
        <f aca="false">X40*Phases!I31</f>
        <v>12863.9423425252</v>
      </c>
      <c r="Y45" s="187" t="n">
        <f aca="false">Y40*Phases!I31</f>
        <v>13632.0240722494</v>
      </c>
      <c r="Z45" s="187" t="n">
        <f aca="false">Z40*Phases!I31</f>
        <v>14377.0633500819</v>
      </c>
    </row>
    <row r="46" customFormat="false" ht="15" hidden="false" customHeight="true" outlineLevel="0" collapsed="false">
      <c r="B46" s="162" t="s">
        <v>490</v>
      </c>
      <c r="C46" s="188" t="n">
        <f aca="false">C43-C45</f>
        <v>-2.5</v>
      </c>
      <c r="D46" s="188" t="n">
        <f aca="false">D43-D45</f>
        <v>-5</v>
      </c>
      <c r="E46" s="188" t="n">
        <f aca="false">E43-E45</f>
        <v>30.25</v>
      </c>
      <c r="F46" s="188" t="n">
        <f aca="false">F43-F45</f>
        <v>46.58</v>
      </c>
      <c r="G46" s="188" t="n">
        <f aca="false">G43-G45</f>
        <v>499.9655808</v>
      </c>
      <c r="H46" s="188" t="n">
        <f aca="false">H43-H45</f>
        <v>763.967645952</v>
      </c>
      <c r="I46" s="188" t="n">
        <f aca="false">I43-I45</f>
        <v>2569.44668912</v>
      </c>
      <c r="J46" s="188" t="n">
        <f aca="false">J43-J45</f>
        <v>3590.974354664</v>
      </c>
      <c r="K46" s="188" t="n">
        <f aca="false">K43-K45</f>
        <v>4561.4256369308</v>
      </c>
      <c r="L46" s="188" t="n">
        <f aca="false">L43-L45</f>
        <v>8227.0881284809</v>
      </c>
      <c r="M46" s="188" t="n">
        <f aca="false">M43-M45</f>
        <v>10223.0046033417</v>
      </c>
      <c r="N46" s="188" t="n">
        <f aca="false">N43-N45</f>
        <v>12139.084419208</v>
      </c>
      <c r="O46" s="188" t="n">
        <f aca="false">O43-O45</f>
        <v>20015.0079474359</v>
      </c>
      <c r="P46" s="188" t="n">
        <f aca="false">P43-P45</f>
        <v>23248.5577090128</v>
      </c>
      <c r="Q46" s="188" t="n">
        <f aca="false">Q43-Q45</f>
        <v>26385.1009777424</v>
      </c>
      <c r="R46" s="188" t="n">
        <f aca="false">R43-R45</f>
        <v>29427.5479484102</v>
      </c>
      <c r="S46" s="188" t="n">
        <f aca="false">S43-S45</f>
        <v>32378.7215099579</v>
      </c>
      <c r="T46" s="188" t="n">
        <f aca="false">T43-T45</f>
        <v>35241.3598646591</v>
      </c>
      <c r="U46" s="188" t="n">
        <f aca="false">U43-U45</f>
        <v>47522.7068112385</v>
      </c>
      <c r="V46" s="188" t="n">
        <f aca="false">V43-V45</f>
        <v>51363.0256069014</v>
      </c>
      <c r="W46" s="188" t="n">
        <f aca="false">W43-W45</f>
        <v>55088.1348386943</v>
      </c>
      <c r="X46" s="188" t="n">
        <f aca="false">X43-X45</f>
        <v>58701.4907935335</v>
      </c>
      <c r="Y46" s="188" t="n">
        <f aca="false">Y43-Y45</f>
        <v>62206.4460697275</v>
      </c>
      <c r="Z46" s="188" t="n">
        <f aca="false">Z43-Z45</f>
        <v>65606.2526876357</v>
      </c>
    </row>
    <row r="47" customFormat="false" ht="15" hidden="false" customHeight="true" outlineLevel="0" collapsed="false">
      <c r="B47" s="171" t="s">
        <v>491</v>
      </c>
      <c r="C47" s="189" t="n">
        <f aca="false">IFERROR(C46/C43,0)</f>
        <v>0</v>
      </c>
      <c r="D47" s="189" t="n">
        <f aca="false">IFERROR(D46/D43,0)</f>
        <v>0</v>
      </c>
      <c r="E47" s="189" t="n">
        <f aca="false">IFERROR(E46/E43,0)</f>
        <v>0.416666666666667</v>
      </c>
      <c r="F47" s="189" t="n">
        <f aca="false">IFERROR(F46/F43,0)</f>
        <v>0.416666666666667</v>
      </c>
      <c r="G47" s="189" t="n">
        <f aca="false">IFERROR(G46/G43,0)</f>
        <v>0.675862068965517</v>
      </c>
      <c r="H47" s="189" t="n">
        <f aca="false">IFERROR(H46/H43,0)</f>
        <v>0.675862068965517</v>
      </c>
      <c r="I47" s="189" t="n">
        <f aca="false">IFERROR(I46/I43,0)</f>
        <v>0.741935483870968</v>
      </c>
      <c r="J47" s="189" t="n">
        <f aca="false">IFERROR(J46/J43,0)</f>
        <v>0.741935483870968</v>
      </c>
      <c r="K47" s="189" t="n">
        <f aca="false">IFERROR(K46/K43,0)</f>
        <v>0.741935483870968</v>
      </c>
      <c r="L47" s="189" t="n">
        <f aca="false">IFERROR(L46/L43,0)</f>
        <v>0.75242718446602</v>
      </c>
      <c r="M47" s="189" t="n">
        <f aca="false">IFERROR(M46/M43,0)</f>
        <v>0.752427184466019</v>
      </c>
      <c r="N47" s="189" t="n">
        <f aca="false">IFERROR(N46/N43,0)</f>
        <v>0.752427184466019</v>
      </c>
      <c r="O47" s="189" t="n">
        <f aca="false">IFERROR(O46/O43,0)</f>
        <v>0.803773584905661</v>
      </c>
      <c r="P47" s="189" t="n">
        <f aca="false">IFERROR(P46/P43,0)</f>
        <v>0.80377358490566</v>
      </c>
      <c r="Q47" s="189" t="n">
        <f aca="false">IFERROR(Q46/Q43,0)</f>
        <v>0.80377358490566</v>
      </c>
      <c r="R47" s="189" t="n">
        <f aca="false">IFERROR(R46/R43,0)</f>
        <v>0.80377358490566</v>
      </c>
      <c r="S47" s="189" t="n">
        <f aca="false">IFERROR(S46/S43,0)</f>
        <v>0.80377358490566</v>
      </c>
      <c r="T47" s="189" t="n">
        <f aca="false">IFERROR(T46/T43,0)</f>
        <v>0.80377358490566</v>
      </c>
      <c r="U47" s="189" t="n">
        <f aca="false">IFERROR(U46/U43,0)</f>
        <v>0.820249221183801</v>
      </c>
      <c r="V47" s="189" t="n">
        <f aca="false">IFERROR(V46/V43,0)</f>
        <v>0.820249221183801</v>
      </c>
      <c r="W47" s="189" t="n">
        <f aca="false">IFERROR(W46/W43,0)</f>
        <v>0.820249221183801</v>
      </c>
      <c r="X47" s="189" t="n">
        <f aca="false">IFERROR(X46/X43,0)</f>
        <v>0.820249221183801</v>
      </c>
      <c r="Y47" s="189" t="n">
        <f aca="false">IFERROR(Y46/Y43,0)</f>
        <v>0.820249221183801</v>
      </c>
      <c r="Z47" s="189" t="n">
        <f aca="false">IFERROR(Z46/Z43,0)</f>
        <v>0.820249221183801</v>
      </c>
    </row>
    <row r="49" customFormat="false" ht="15" hidden="false" customHeight="true" outlineLevel="0" collapsed="false">
      <c r="B49" s="176" t="s">
        <v>492</v>
      </c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customFormat="false" ht="15" hidden="false" customHeight="true" outlineLevel="0" collapsed="false">
      <c r="B50" s="171" t="s">
        <v>493</v>
      </c>
      <c r="C50" s="187" t="n">
        <f aca="false">Phases!C40</f>
        <v>3500</v>
      </c>
      <c r="D50" s="187" t="n">
        <f aca="false">Phases!C40</f>
        <v>3500</v>
      </c>
      <c r="E50" s="187" t="n">
        <f aca="false">Phases!D40</f>
        <v>3650</v>
      </c>
      <c r="F50" s="187" t="n">
        <f aca="false">Phases!D40</f>
        <v>3650</v>
      </c>
      <c r="G50" s="187" t="n">
        <f aca="false">Phases!E40</f>
        <v>5650</v>
      </c>
      <c r="H50" s="187" t="n">
        <f aca="false">Phases!E40</f>
        <v>5650</v>
      </c>
      <c r="I50" s="187" t="n">
        <f aca="false">Phases!F40</f>
        <v>7100</v>
      </c>
      <c r="J50" s="187" t="n">
        <f aca="false">Phases!F40</f>
        <v>7100</v>
      </c>
      <c r="K50" s="187" t="n">
        <f aca="false">Phases!F40</f>
        <v>7100</v>
      </c>
      <c r="L50" s="187" t="n">
        <f aca="false">Phases!G40</f>
        <v>7900</v>
      </c>
      <c r="M50" s="187" t="n">
        <f aca="false">Phases!G40</f>
        <v>7900</v>
      </c>
      <c r="N50" s="187" t="n">
        <f aca="false">Phases!G40</f>
        <v>7900</v>
      </c>
      <c r="O50" s="187" t="n">
        <f aca="false">Phases!H40</f>
        <v>11400</v>
      </c>
      <c r="P50" s="187" t="n">
        <f aca="false">Phases!H40</f>
        <v>11400</v>
      </c>
      <c r="Q50" s="187" t="n">
        <f aca="false">Phases!H40</f>
        <v>11400</v>
      </c>
      <c r="R50" s="187" t="n">
        <f aca="false">Phases!H40</f>
        <v>11400</v>
      </c>
      <c r="S50" s="187" t="n">
        <f aca="false">Phases!H40</f>
        <v>11400</v>
      </c>
      <c r="T50" s="187" t="n">
        <f aca="false">Phases!H40</f>
        <v>11400</v>
      </c>
      <c r="U50" s="187" t="n">
        <f aca="false">Phases!I40</f>
        <v>13900</v>
      </c>
      <c r="V50" s="187" t="n">
        <f aca="false">Phases!I40</f>
        <v>13900</v>
      </c>
      <c r="W50" s="187" t="n">
        <f aca="false">Phases!I40</f>
        <v>13900</v>
      </c>
      <c r="X50" s="187" t="n">
        <f aca="false">Phases!I40</f>
        <v>13900</v>
      </c>
      <c r="Y50" s="187" t="n">
        <f aca="false">Phases!I40</f>
        <v>13900</v>
      </c>
      <c r="Z50" s="187" t="n">
        <f aca="false">Phases!I40</f>
        <v>13900</v>
      </c>
    </row>
    <row r="51" customFormat="false" ht="15" hidden="false" customHeight="true" outlineLevel="0" collapsed="false">
      <c r="B51" s="171" t="s">
        <v>494</v>
      </c>
      <c r="C51" s="187" t="n">
        <f aca="false">C7*C8</f>
        <v>75</v>
      </c>
      <c r="D51" s="187" t="n">
        <f aca="false">D7*D8</f>
        <v>75</v>
      </c>
      <c r="E51" s="187" t="n">
        <f aca="false">E7*E8</f>
        <v>375</v>
      </c>
      <c r="F51" s="187" t="n">
        <f aca="false">F7*F8</f>
        <v>375</v>
      </c>
      <c r="G51" s="187" t="n">
        <f aca="false">G7*G8</f>
        <v>3000</v>
      </c>
      <c r="H51" s="187" t="n">
        <f aca="false">H7*H8</f>
        <v>3000</v>
      </c>
      <c r="I51" s="187" t="n">
        <f aca="false">I7*I8</f>
        <v>10000</v>
      </c>
      <c r="J51" s="187" t="n">
        <f aca="false">J7*J8</f>
        <v>10000</v>
      </c>
      <c r="K51" s="187" t="n">
        <f aca="false">K7*K8</f>
        <v>10000</v>
      </c>
      <c r="L51" s="187" t="n">
        <f aca="false">L7*L8</f>
        <v>19500</v>
      </c>
      <c r="M51" s="187" t="n">
        <f aca="false">M7*M8</f>
        <v>19500</v>
      </c>
      <c r="N51" s="187" t="n">
        <f aca="false">N7*N8</f>
        <v>19500</v>
      </c>
      <c r="O51" s="187" t="n">
        <f aca="false">O7*O8</f>
        <v>21600</v>
      </c>
      <c r="P51" s="187" t="n">
        <f aca="false">P7*P8</f>
        <v>21600</v>
      </c>
      <c r="Q51" s="187" t="n">
        <f aca="false">Q7*Q8</f>
        <v>21600</v>
      </c>
      <c r="R51" s="187" t="n">
        <f aca="false">R7*R8</f>
        <v>21600</v>
      </c>
      <c r="S51" s="187" t="n">
        <f aca="false">S7*S8</f>
        <v>21600</v>
      </c>
      <c r="T51" s="187" t="n">
        <f aca="false">T7*T8</f>
        <v>21600</v>
      </c>
      <c r="U51" s="187" t="n">
        <f aca="false">U7*U8</f>
        <v>28000</v>
      </c>
      <c r="V51" s="187" t="n">
        <f aca="false">V7*V8</f>
        <v>28000</v>
      </c>
      <c r="W51" s="187" t="n">
        <f aca="false">W7*W8</f>
        <v>28000</v>
      </c>
      <c r="X51" s="187" t="n">
        <f aca="false">X7*X8</f>
        <v>28000</v>
      </c>
      <c r="Y51" s="187" t="n">
        <f aca="false">Y7*Y8</f>
        <v>28000</v>
      </c>
      <c r="Z51" s="187" t="n">
        <f aca="false">Z7*Z8</f>
        <v>28000</v>
      </c>
    </row>
    <row r="52" customFormat="false" ht="23.25" hidden="false" customHeight="true" outlineLevel="0" collapsed="false">
      <c r="B52" s="162" t="s">
        <v>495</v>
      </c>
      <c r="C52" s="188" t="n">
        <f aca="false">C45+C50+C51</f>
        <v>3577.5</v>
      </c>
      <c r="D52" s="188" t="n">
        <f aca="false">D45+D50+D51</f>
        <v>3580</v>
      </c>
      <c r="E52" s="188" t="n">
        <f aca="false">E45+E50+E51</f>
        <v>4067.35</v>
      </c>
      <c r="F52" s="188" t="n">
        <f aca="false">F45+F50+F51</f>
        <v>4090.212</v>
      </c>
      <c r="G52" s="188" t="n">
        <f aca="false">G45+G50+G51</f>
        <v>8889.7794112</v>
      </c>
      <c r="H52" s="188" t="n">
        <f aca="false">H45+H50+H51</f>
        <v>9016.392646528</v>
      </c>
      <c r="I52" s="188" t="n">
        <f aca="false">I45+I50+I51</f>
        <v>17993.72058752</v>
      </c>
      <c r="J52" s="188" t="n">
        <f aca="false">J45+J50+J51</f>
        <v>18349.034558144</v>
      </c>
      <c r="K52" s="188" t="n">
        <f aca="false">K45+K50+K51</f>
        <v>18686.5828302368</v>
      </c>
      <c r="L52" s="188" t="n">
        <f aca="false">L45+L50+L51</f>
        <v>30106.9773842098</v>
      </c>
      <c r="M52" s="188" t="n">
        <f aca="false">M45+M50+M51</f>
        <v>30763.6982888415</v>
      </c>
      <c r="N52" s="188" t="n">
        <f aca="false">N45+N50+N51</f>
        <v>31394.1503572878</v>
      </c>
      <c r="O52" s="188" t="n">
        <f aca="false">O45+O50+O51</f>
        <v>37886.2930200313</v>
      </c>
      <c r="P52" s="188" t="n">
        <f aca="false">P45+P50+P51</f>
        <v>38675.7042294304</v>
      </c>
      <c r="Q52" s="188" t="n">
        <f aca="false">Q45+Q50+Q51</f>
        <v>39441.4331025474</v>
      </c>
      <c r="R52" s="188" t="n">
        <f aca="false">R45+R50+R51</f>
        <v>40184.190109471</v>
      </c>
      <c r="S52" s="188" t="n">
        <f aca="false">S45+S50+S51</f>
        <v>40904.6644061869</v>
      </c>
      <c r="T52" s="188" t="n">
        <f aca="false">T45+T50+T51</f>
        <v>41603.5244740013</v>
      </c>
      <c r="U52" s="188" t="n">
        <f aca="false">U45+U50+U51</f>
        <v>52314.2050247188</v>
      </c>
      <c r="V52" s="188" t="n">
        <f aca="false">V45+V50+V51</f>
        <v>53155.7788739772</v>
      </c>
      <c r="W52" s="188" t="n">
        <f aca="false">W45+W50+W51</f>
        <v>53972.1055077579</v>
      </c>
      <c r="X52" s="188" t="n">
        <f aca="false">X45+X50+X51</f>
        <v>54763.9423425252</v>
      </c>
      <c r="Y52" s="188" t="n">
        <f aca="false">Y45+Y50+Y51</f>
        <v>55532.0240722494</v>
      </c>
      <c r="Z52" s="188" t="n">
        <f aca="false">Z45+Z50+Z51</f>
        <v>56277.0633500819</v>
      </c>
    </row>
    <row r="53" customFormat="false" ht="15" hidden="false" customHeight="true" outlineLevel="0" collapsed="false">
      <c r="B53" s="162" t="s">
        <v>496</v>
      </c>
      <c r="C53" s="190" t="n">
        <f aca="false">C43-C52</f>
        <v>-3577.5</v>
      </c>
      <c r="D53" s="190" t="n">
        <f aca="false">D43-D52</f>
        <v>-3580</v>
      </c>
      <c r="E53" s="190" t="n">
        <f aca="false">E43-E52</f>
        <v>-3994.75</v>
      </c>
      <c r="F53" s="190" t="n">
        <f aca="false">F43-F52</f>
        <v>-3978.42</v>
      </c>
      <c r="G53" s="190" t="n">
        <f aca="false">G43-G52</f>
        <v>-8150.0344192</v>
      </c>
      <c r="H53" s="190" t="n">
        <f aca="false">H43-H52</f>
        <v>-7886.032354048</v>
      </c>
      <c r="I53" s="190" t="n">
        <f aca="false">I43-I52</f>
        <v>-14530.55331088</v>
      </c>
      <c r="J53" s="190" t="n">
        <f aca="false">J43-J52</f>
        <v>-13509.025645336</v>
      </c>
      <c r="K53" s="190" t="n">
        <f aca="false">K43-K52</f>
        <v>-12538.5743630692</v>
      </c>
      <c r="L53" s="190" t="n">
        <f aca="false">L43-L52</f>
        <v>-19172.9118715191</v>
      </c>
      <c r="M53" s="190" t="n">
        <f aca="false">M43-M52</f>
        <v>-17176.9953966583</v>
      </c>
      <c r="N53" s="190" t="n">
        <f aca="false">N43-N52</f>
        <v>-15260.915580792</v>
      </c>
      <c r="O53" s="190" t="n">
        <f aca="false">O43-O52</f>
        <v>-12984.9920525641</v>
      </c>
      <c r="P53" s="190" t="n">
        <f aca="false">P43-P52</f>
        <v>-9751.44229098718</v>
      </c>
      <c r="Q53" s="190" t="n">
        <f aca="false">Q43-Q52</f>
        <v>-6614.89902225757</v>
      </c>
      <c r="R53" s="190" t="n">
        <f aca="false">R43-R52</f>
        <v>-3572.45205158984</v>
      </c>
      <c r="S53" s="190" t="n">
        <f aca="false">S43-S52</f>
        <v>-621.278490042147</v>
      </c>
      <c r="T53" s="190" t="n">
        <f aca="false">T43-T52</f>
        <v>2241.35986465912</v>
      </c>
      <c r="U53" s="190" t="n">
        <f aca="false">U43-U52</f>
        <v>5622.70681123851</v>
      </c>
      <c r="V53" s="190" t="n">
        <f aca="false">V43-V52</f>
        <v>9463.02560690136</v>
      </c>
      <c r="W53" s="190" t="n">
        <f aca="false">W43-W52</f>
        <v>13188.1348386943</v>
      </c>
      <c r="X53" s="190" t="n">
        <f aca="false">X43-X52</f>
        <v>16801.4907935335</v>
      </c>
      <c r="Y53" s="190" t="n">
        <f aca="false">Y43-Y52</f>
        <v>20306.4460697275</v>
      </c>
      <c r="Z53" s="190" t="n">
        <f aca="false">Z43-Z52</f>
        <v>23706.2526876357</v>
      </c>
    </row>
    <row r="54" customFormat="false" ht="15" hidden="false" customHeight="true" outlineLevel="0" collapsed="false">
      <c r="B54" s="162" t="s">
        <v>497</v>
      </c>
      <c r="C54" s="191" t="n">
        <f aca="false">C53</f>
        <v>-3577.5</v>
      </c>
      <c r="D54" s="191" t="n">
        <f aca="false">C54+D53</f>
        <v>-7157.5</v>
      </c>
      <c r="E54" s="191" t="n">
        <f aca="false">D54+E53</f>
        <v>-11152.25</v>
      </c>
      <c r="F54" s="191" t="n">
        <f aca="false">E54+F53</f>
        <v>-15130.67</v>
      </c>
      <c r="G54" s="191" t="n">
        <f aca="false">F54+G53</f>
        <v>-23280.7044192</v>
      </c>
      <c r="H54" s="191" t="n">
        <f aca="false">G54+H53</f>
        <v>-31166.736773248</v>
      </c>
      <c r="I54" s="191" t="n">
        <f aca="false">H54+I53</f>
        <v>-45697.290084128</v>
      </c>
      <c r="J54" s="191" t="n">
        <f aca="false">I54+J53</f>
        <v>-59206.315729464</v>
      </c>
      <c r="K54" s="191" t="n">
        <f aca="false">J54+K53</f>
        <v>-71744.8900925332</v>
      </c>
      <c r="L54" s="191" t="n">
        <f aca="false">K54+L53</f>
        <v>-90917.8019640523</v>
      </c>
      <c r="M54" s="191" t="n">
        <f aca="false">L54+M53</f>
        <v>-108094.797360711</v>
      </c>
      <c r="N54" s="191" t="n">
        <f aca="false">M54+N53</f>
        <v>-123355.712941503</v>
      </c>
      <c r="O54" s="191" t="n">
        <f aca="false">N54+O53</f>
        <v>-136340.704994067</v>
      </c>
      <c r="P54" s="191" t="n">
        <f aca="false">O54+P53</f>
        <v>-146092.147285054</v>
      </c>
      <c r="Q54" s="191" t="n">
        <f aca="false">P54+Q53</f>
        <v>-152707.046307312</v>
      </c>
      <c r="R54" s="191" t="n">
        <f aca="false">Q54+R53</f>
        <v>-156279.498358901</v>
      </c>
      <c r="S54" s="191" t="n">
        <f aca="false">R54+S53</f>
        <v>-156900.776848944</v>
      </c>
      <c r="T54" s="191" t="n">
        <f aca="false">S54+T53</f>
        <v>-154659.416984284</v>
      </c>
      <c r="U54" s="191" t="n">
        <f aca="false">T54+U53</f>
        <v>-149036.710173046</v>
      </c>
      <c r="V54" s="191" t="n">
        <f aca="false">U54+V53</f>
        <v>-139573.684566145</v>
      </c>
      <c r="W54" s="191" t="n">
        <f aca="false">V54+W53</f>
        <v>-126385.54972745</v>
      </c>
      <c r="X54" s="191" t="n">
        <f aca="false">W54+X53</f>
        <v>-109584.058933917</v>
      </c>
      <c r="Y54" s="191" t="n">
        <f aca="false">X54+Y53</f>
        <v>-89277.6128641892</v>
      </c>
      <c r="Z54" s="191" t="n">
        <f aca="false">Y54+Z53</f>
        <v>-65571.3601765535</v>
      </c>
    </row>
    <row r="56" customFormat="false" ht="15" hidden="false" customHeight="true" outlineLevel="0" collapsed="false">
      <c r="B56" s="176" t="s">
        <v>498</v>
      </c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customFormat="false" ht="15" hidden="false" customHeight="true" outlineLevel="0" collapsed="false">
      <c r="B57" s="192" t="s">
        <v>499</v>
      </c>
      <c r="C57" s="193" t="n">
        <v>300000</v>
      </c>
    </row>
    <row r="58" customFormat="false" ht="15" hidden="false" customHeight="true" outlineLevel="0" collapsed="false">
      <c r="B58" s="162" t="s">
        <v>500</v>
      </c>
      <c r="C58" s="188" t="n">
        <f aca="false">$C$57</f>
        <v>300000</v>
      </c>
      <c r="D58" s="188" t="n">
        <f aca="false">C59</f>
        <v>296422.5</v>
      </c>
      <c r="E58" s="188" t="n">
        <f aca="false">D59</f>
        <v>292842.5</v>
      </c>
      <c r="F58" s="188" t="n">
        <f aca="false">E59</f>
        <v>288847.75</v>
      </c>
      <c r="G58" s="188" t="n">
        <f aca="false">F59</f>
        <v>284869.33</v>
      </c>
      <c r="H58" s="188" t="n">
        <f aca="false">G59</f>
        <v>276719.2955808</v>
      </c>
      <c r="I58" s="188" t="n">
        <f aca="false">H59</f>
        <v>268833.263226752</v>
      </c>
      <c r="J58" s="188" t="n">
        <f aca="false">I59</f>
        <v>254302.709915872</v>
      </c>
      <c r="K58" s="188" t="n">
        <f aca="false">J59</f>
        <v>240793.684270536</v>
      </c>
      <c r="L58" s="188" t="n">
        <f aca="false">K59</f>
        <v>228255.109907467</v>
      </c>
      <c r="M58" s="188" t="n">
        <f aca="false">L59</f>
        <v>209082.198035948</v>
      </c>
      <c r="N58" s="188" t="n">
        <f aca="false">M59</f>
        <v>191905.202639289</v>
      </c>
      <c r="O58" s="188" t="n">
        <f aca="false">N59</f>
        <v>176644.287058497</v>
      </c>
      <c r="P58" s="188" t="n">
        <f aca="false">O59</f>
        <v>163659.295005933</v>
      </c>
      <c r="Q58" s="188" t="n">
        <f aca="false">P59</f>
        <v>153907.852714946</v>
      </c>
      <c r="R58" s="188" t="n">
        <f aca="false">Q59</f>
        <v>147292.953692689</v>
      </c>
      <c r="S58" s="188" t="n">
        <f aca="false">R59</f>
        <v>143720.501641099</v>
      </c>
      <c r="T58" s="188" t="n">
        <f aca="false">S59</f>
        <v>143099.223151057</v>
      </c>
      <c r="U58" s="188" t="n">
        <f aca="false">T59</f>
        <v>145340.583015716</v>
      </c>
      <c r="V58" s="188" t="n">
        <f aca="false">U59</f>
        <v>150963.289826954</v>
      </c>
      <c r="W58" s="188" t="n">
        <f aca="false">V59</f>
        <v>160426.315433856</v>
      </c>
      <c r="X58" s="188" t="n">
        <f aca="false">W59</f>
        <v>173614.45027255</v>
      </c>
      <c r="Y58" s="188" t="n">
        <f aca="false">X59</f>
        <v>190415.941066083</v>
      </c>
      <c r="Z58" s="188" t="n">
        <f aca="false">Y59</f>
        <v>210722.387135811</v>
      </c>
    </row>
    <row r="59" customFormat="false" ht="15" hidden="false" customHeight="true" outlineLevel="0" collapsed="false">
      <c r="B59" s="162" t="s">
        <v>501</v>
      </c>
      <c r="C59" s="194" t="n">
        <f aca="false">C58+C53</f>
        <v>296422.5</v>
      </c>
      <c r="D59" s="194" t="n">
        <f aca="false">D58+D53</f>
        <v>292842.5</v>
      </c>
      <c r="E59" s="194" t="n">
        <f aca="false">E58+E53</f>
        <v>288847.75</v>
      </c>
      <c r="F59" s="194" t="n">
        <f aca="false">F58+F53</f>
        <v>284869.33</v>
      </c>
      <c r="G59" s="194" t="n">
        <f aca="false">G58+G53</f>
        <v>276719.2955808</v>
      </c>
      <c r="H59" s="194" t="n">
        <f aca="false">H58+H53</f>
        <v>268833.263226752</v>
      </c>
      <c r="I59" s="194" t="n">
        <f aca="false">I58+I53</f>
        <v>254302.709915872</v>
      </c>
      <c r="J59" s="194" t="n">
        <f aca="false">J58+J53</f>
        <v>240793.684270536</v>
      </c>
      <c r="K59" s="194" t="n">
        <f aca="false">K58+K53</f>
        <v>228255.109907467</v>
      </c>
      <c r="L59" s="194" t="n">
        <f aca="false">L58+L53</f>
        <v>209082.198035948</v>
      </c>
      <c r="M59" s="194" t="n">
        <f aca="false">M58+M53</f>
        <v>191905.202639289</v>
      </c>
      <c r="N59" s="194" t="n">
        <f aca="false">N58+N53</f>
        <v>176644.287058497</v>
      </c>
      <c r="O59" s="194" t="n">
        <f aca="false">O58+O53</f>
        <v>163659.295005933</v>
      </c>
      <c r="P59" s="194" t="n">
        <f aca="false">P58+P53</f>
        <v>153907.852714946</v>
      </c>
      <c r="Q59" s="194" t="n">
        <f aca="false">Q58+Q53</f>
        <v>147292.953692689</v>
      </c>
      <c r="R59" s="194" t="n">
        <f aca="false">R58+R53</f>
        <v>143720.501641099</v>
      </c>
      <c r="S59" s="194" t="n">
        <f aca="false">S58+S53</f>
        <v>143099.223151057</v>
      </c>
      <c r="T59" s="194" t="n">
        <f aca="false">T58+T53</f>
        <v>145340.583015716</v>
      </c>
      <c r="U59" s="194" t="n">
        <f aca="false">U58+U53</f>
        <v>150963.289826954</v>
      </c>
      <c r="V59" s="194" t="n">
        <f aca="false">V58+V53</f>
        <v>160426.315433856</v>
      </c>
      <c r="W59" s="194" t="n">
        <f aca="false">W58+W53</f>
        <v>173614.45027255</v>
      </c>
      <c r="X59" s="194" t="n">
        <f aca="false">X58+X53</f>
        <v>190415.941066083</v>
      </c>
      <c r="Y59" s="194" t="n">
        <f aca="false">Y58+Y53</f>
        <v>210722.387135811</v>
      </c>
      <c r="Z59" s="194" t="n">
        <f aca="false">Z58+Z53</f>
        <v>234428.639823447</v>
      </c>
    </row>
    <row r="60" customFormat="false" ht="23.25" hidden="false" customHeight="true" outlineLevel="0" collapsed="false">
      <c r="B60" s="162" t="s">
        <v>502</v>
      </c>
      <c r="C60" s="195" t="n">
        <f aca="false">IFERROR(IF(C53&gt;=0,99,-C59/C53),0)</f>
        <v>82.8574423480084</v>
      </c>
      <c r="D60" s="195" t="n">
        <f aca="false">IFERROR(IF(D53&gt;=0,99,-D59/D53),0)</f>
        <v>81.7995810055866</v>
      </c>
      <c r="E60" s="195" t="n">
        <f aca="false">IFERROR(IF(E53&gt;=0,99,-E59/E53),0)</f>
        <v>72.306840227799</v>
      </c>
      <c r="F60" s="195" t="n">
        <f aca="false">IFERROR(IF(F53&gt;=0,99,-F59/F53),0)</f>
        <v>71.6036341060019</v>
      </c>
      <c r="G60" s="195" t="n">
        <f aca="false">IFERROR(IF(G53&gt;=0,99,-G59/G53),0)</f>
        <v>33.9531444099058</v>
      </c>
      <c r="H60" s="195" t="n">
        <f aca="false">IFERROR(IF(H53&gt;=0,99,-H59/H53),0)</f>
        <v>34.0897996809202</v>
      </c>
      <c r="I60" s="195" t="n">
        <f aca="false">IFERROR(IF(I53&gt;=0,99,-I59/I53),0)</f>
        <v>17.5012406255348</v>
      </c>
      <c r="J60" s="195" t="n">
        <f aca="false">IFERROR(IF(J53&gt;=0,99,-J59/J53),0)</f>
        <v>17.8246522430484</v>
      </c>
      <c r="K60" s="195" t="n">
        <f aca="false">IFERROR(IF(K53&gt;=0,99,-K59/K53),0)</f>
        <v>18.2042314618928</v>
      </c>
      <c r="L60" s="195" t="n">
        <f aca="false">IFERROR(IF(L53&gt;=0,99,-L59/L53),0)</f>
        <v>10.9050831421457</v>
      </c>
      <c r="M60" s="195" t="n">
        <f aca="false">IFERROR(IF(M53&gt;=0,99,-M59/M53),0)</f>
        <v>11.1722218122398</v>
      </c>
      <c r="N60" s="195" t="n">
        <f aca="false">IFERROR(IF(N53&gt;=0,99,-N59/N53),0)</f>
        <v>11.5749468715251</v>
      </c>
      <c r="O60" s="195" t="n">
        <f aca="false">IFERROR(IF(O53&gt;=0,99,-O59/O53),0)</f>
        <v>12.6037270060259</v>
      </c>
      <c r="P60" s="195" t="n">
        <f aca="false">IFERROR(IF(P53&gt;=0,99,-P59/P53),0)</f>
        <v>15.7830860422767</v>
      </c>
      <c r="Q60" s="195" t="n">
        <f aca="false">IFERROR(IF(Q53&gt;=0,99,-Q59/Q53),0)</f>
        <v>22.2668483973954</v>
      </c>
      <c r="R60" s="195" t="n">
        <f aca="false">IFERROR(IF(R53&gt;=0,99,-R59/R53),0)</f>
        <v>40.230211508966</v>
      </c>
      <c r="S60" s="195" t="n">
        <f aca="false">IFERROR(IF(S53&gt;=0,99,-S59/S53),0)</f>
        <v>230.330239087062</v>
      </c>
      <c r="T60" s="195" t="n">
        <f aca="false">IFERROR(IF(T53&gt;=0,99,-T59/T53),0)</f>
        <v>99</v>
      </c>
      <c r="U60" s="195" t="n">
        <f aca="false">IFERROR(IF(U53&gt;=0,99,-U59/U53),0)</f>
        <v>99</v>
      </c>
      <c r="V60" s="195" t="n">
        <f aca="false">IFERROR(IF(V53&gt;=0,99,-V59/V53),0)</f>
        <v>99</v>
      </c>
      <c r="W60" s="195" t="n">
        <f aca="false">IFERROR(IF(W53&gt;=0,99,-W59/W53),0)</f>
        <v>99</v>
      </c>
      <c r="X60" s="195" t="n">
        <f aca="false">IFERROR(IF(X53&gt;=0,99,-X59/X53),0)</f>
        <v>99</v>
      </c>
      <c r="Y60" s="195" t="n">
        <f aca="false">IFERROR(IF(Y53&gt;=0,99,-Y59/Y53),0)</f>
        <v>99</v>
      </c>
      <c r="Z60" s="195" t="n">
        <f aca="false">IFERROR(IF(Z53&gt;=0,99,-Z59/Z53),0)</f>
        <v>99</v>
      </c>
    </row>
    <row r="62" customFormat="false" ht="15" hidden="false" customHeight="true" outlineLevel="0" collapsed="false">
      <c r="B62" s="176" t="s">
        <v>503</v>
      </c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customFormat="false" ht="15" hidden="false" customHeight="true" outlineLevel="0" collapsed="false">
      <c r="B63" s="171" t="s">
        <v>504</v>
      </c>
      <c r="C63" s="187" t="n">
        <f aca="false">C43</f>
        <v>0</v>
      </c>
      <c r="D63" s="187" t="n">
        <f aca="false">D43</f>
        <v>0</v>
      </c>
      <c r="E63" s="187" t="n">
        <f aca="false">E43</f>
        <v>72.6</v>
      </c>
      <c r="F63" s="187" t="n">
        <f aca="false">F43</f>
        <v>111.792</v>
      </c>
      <c r="G63" s="187" t="n">
        <f aca="false">G43</f>
        <v>739.744992</v>
      </c>
      <c r="H63" s="187" t="n">
        <f aca="false">H43</f>
        <v>1130.36029248</v>
      </c>
      <c r="I63" s="187" t="n">
        <f aca="false">I43</f>
        <v>3463.16727664</v>
      </c>
      <c r="J63" s="187" t="n">
        <f aca="false">J43</f>
        <v>4840.008912808</v>
      </c>
      <c r="K63" s="187" t="n">
        <f aca="false">K43</f>
        <v>6148.0084671676</v>
      </c>
      <c r="L63" s="187" t="n">
        <f aca="false">L43</f>
        <v>10934.0655126907</v>
      </c>
      <c r="M63" s="187" t="n">
        <f aca="false">M43</f>
        <v>13586.7028921831</v>
      </c>
      <c r="N63" s="187" t="n">
        <f aca="false">N43</f>
        <v>16133.2347764958</v>
      </c>
      <c r="O63" s="187" t="n">
        <f aca="false">O43</f>
        <v>24901.3009674672</v>
      </c>
      <c r="P63" s="187" t="n">
        <f aca="false">P43</f>
        <v>28924.2619384432</v>
      </c>
      <c r="Q63" s="187" t="n">
        <f aca="false">Q43</f>
        <v>32826.5340802899</v>
      </c>
      <c r="R63" s="187" t="n">
        <f aca="false">R43</f>
        <v>36611.7380578812</v>
      </c>
      <c r="S63" s="187" t="n">
        <f aca="false">S43</f>
        <v>40283.3859161448</v>
      </c>
      <c r="T63" s="187" t="n">
        <f aca="false">T43</f>
        <v>43844.8843386604</v>
      </c>
      <c r="U63" s="187" t="n">
        <f aca="false">U43</f>
        <v>57936.9118359573</v>
      </c>
      <c r="V63" s="187" t="n">
        <f aca="false">V43</f>
        <v>62618.8044808786</v>
      </c>
      <c r="W63" s="187" t="n">
        <f aca="false">W43</f>
        <v>67160.2403464523</v>
      </c>
      <c r="X63" s="187" t="n">
        <f aca="false">X43</f>
        <v>71565.4331360587</v>
      </c>
      <c r="Y63" s="187" t="n">
        <f aca="false">Y43</f>
        <v>75838.4701419769</v>
      </c>
      <c r="Z63" s="187" t="n">
        <f aca="false">Z43</f>
        <v>79983.3160377176</v>
      </c>
    </row>
    <row r="64" customFormat="false" ht="15" hidden="false" customHeight="true" outlineLevel="0" collapsed="false">
      <c r="B64" s="171" t="s">
        <v>505</v>
      </c>
      <c r="C64" s="186" t="n">
        <f aca="false">C43*12</f>
        <v>0</v>
      </c>
      <c r="D64" s="186" t="n">
        <f aca="false">D43*12</f>
        <v>0</v>
      </c>
      <c r="E64" s="186" t="n">
        <f aca="false">E43*12</f>
        <v>871.2</v>
      </c>
      <c r="F64" s="186" t="n">
        <f aca="false">F43*12</f>
        <v>1341.504</v>
      </c>
      <c r="G64" s="186" t="n">
        <f aca="false">G43*12</f>
        <v>8876.939904</v>
      </c>
      <c r="H64" s="186" t="n">
        <f aca="false">H43*12</f>
        <v>13564.32350976</v>
      </c>
      <c r="I64" s="186" t="n">
        <f aca="false">I43*12</f>
        <v>41558.00731968</v>
      </c>
      <c r="J64" s="186" t="n">
        <f aca="false">J43*12</f>
        <v>58080.106953696</v>
      </c>
      <c r="K64" s="186" t="n">
        <f aca="false">K43*12</f>
        <v>73776.1016060112</v>
      </c>
      <c r="L64" s="186" t="n">
        <f aca="false">L43*12</f>
        <v>131208.786152289</v>
      </c>
      <c r="M64" s="186" t="n">
        <f aca="false">M43*12</f>
        <v>163040.434706197</v>
      </c>
      <c r="N64" s="186" t="n">
        <f aca="false">N43*12</f>
        <v>193598.817317949</v>
      </c>
      <c r="O64" s="186" t="n">
        <f aca="false">O43*12</f>
        <v>298815.611609606</v>
      </c>
      <c r="P64" s="186" t="n">
        <f aca="false">P43*12</f>
        <v>347091.143261318</v>
      </c>
      <c r="Q64" s="186" t="n">
        <f aca="false">Q43*12</f>
        <v>393918.408963479</v>
      </c>
      <c r="R64" s="186" t="n">
        <f aca="false">R43*12</f>
        <v>439340.856694574</v>
      </c>
      <c r="S64" s="186" t="n">
        <f aca="false">S43*12</f>
        <v>483400.630993737</v>
      </c>
      <c r="T64" s="186" t="n">
        <f aca="false">T43*12</f>
        <v>526138.612063925</v>
      </c>
      <c r="U64" s="186" t="n">
        <f aca="false">U43*12</f>
        <v>695242.942031488</v>
      </c>
      <c r="V64" s="186" t="n">
        <f aca="false">V43*12</f>
        <v>751425.653770543</v>
      </c>
      <c r="W64" s="186" t="n">
        <f aca="false">W43*12</f>
        <v>805922.884157427</v>
      </c>
      <c r="X64" s="186" t="n">
        <f aca="false">X43*12</f>
        <v>858785.197632704</v>
      </c>
      <c r="Y64" s="186" t="n">
        <f aca="false">Y43*12</f>
        <v>910061.641703723</v>
      </c>
      <c r="Z64" s="186" t="n">
        <f aca="false">Z43*12</f>
        <v>959799.792452611</v>
      </c>
    </row>
    <row r="65" customFormat="false" ht="15" hidden="false" customHeight="true" outlineLevel="0" collapsed="false">
      <c r="B65" s="171" t="s">
        <v>506</v>
      </c>
      <c r="C65" s="187" t="n">
        <f aca="false">C64</f>
        <v>0</v>
      </c>
      <c r="D65" s="187" t="n">
        <f aca="false">D64-C64</f>
        <v>0</v>
      </c>
      <c r="E65" s="187" t="n">
        <f aca="false">E64-D64</f>
        <v>871.2</v>
      </c>
      <c r="F65" s="187" t="n">
        <f aca="false">F64-E64</f>
        <v>470.304</v>
      </c>
      <c r="G65" s="187" t="n">
        <f aca="false">G64-F64</f>
        <v>7535.435904</v>
      </c>
      <c r="H65" s="187" t="n">
        <f aca="false">H64-G64</f>
        <v>4687.38360576</v>
      </c>
      <c r="I65" s="187" t="n">
        <f aca="false">I64-H64</f>
        <v>27993.68380992</v>
      </c>
      <c r="J65" s="187" t="n">
        <f aca="false">J64-I64</f>
        <v>16522.099634016</v>
      </c>
      <c r="K65" s="187" t="n">
        <f aca="false">K64-J64</f>
        <v>15695.9946523152</v>
      </c>
      <c r="L65" s="187" t="n">
        <f aca="false">L64-K64</f>
        <v>57432.6845462777</v>
      </c>
      <c r="M65" s="187" t="n">
        <f aca="false">M64-L64</f>
        <v>31831.6485539085</v>
      </c>
      <c r="N65" s="187" t="n">
        <f aca="false">N64-M64</f>
        <v>30558.3826117521</v>
      </c>
      <c r="O65" s="187" t="n">
        <f aca="false">O64-N64</f>
        <v>105216.794291657</v>
      </c>
      <c r="P65" s="187" t="n">
        <f aca="false">P64-O64</f>
        <v>48275.5316517119</v>
      </c>
      <c r="Q65" s="187" t="n">
        <f aca="false">Q64-P64</f>
        <v>46827.2657021604</v>
      </c>
      <c r="R65" s="187" t="n">
        <f aca="false">R64-Q64</f>
        <v>45422.4477310956</v>
      </c>
      <c r="S65" s="187" t="n">
        <f aca="false">S64-R64</f>
        <v>44059.7742991629</v>
      </c>
      <c r="T65" s="187" t="n">
        <f aca="false">T64-S64</f>
        <v>42737.9810701879</v>
      </c>
      <c r="U65" s="187" t="n">
        <f aca="false">U64-T64</f>
        <v>169104.329967563</v>
      </c>
      <c r="V65" s="187" t="n">
        <f aca="false">V64-U64</f>
        <v>56182.7117390554</v>
      </c>
      <c r="W65" s="187" t="n">
        <f aca="false">W64-V64</f>
        <v>54497.2303868838</v>
      </c>
      <c r="X65" s="187" t="n">
        <f aca="false">X64-W64</f>
        <v>52862.3134752769</v>
      </c>
      <c r="Y65" s="187" t="n">
        <f aca="false">Y64-X64</f>
        <v>51276.4440710192</v>
      </c>
      <c r="Z65" s="187" t="n">
        <f aca="false">Z64-Y64</f>
        <v>49738.1507488882</v>
      </c>
    </row>
    <row r="66" customFormat="false" ht="15" hidden="false" customHeight="true" outlineLevel="0" collapsed="false">
      <c r="B66" s="171" t="s">
        <v>507</v>
      </c>
      <c r="C66" s="196" t="n">
        <f aca="false">IFERROR(IF(C53&gt;=0,0,-C53/MAX(C65,1)),0)</f>
        <v>3577.5</v>
      </c>
      <c r="D66" s="196" t="n">
        <f aca="false">IFERROR(IF(D53&gt;=0,0,-D53/MAX(D65,1)),0)</f>
        <v>3580</v>
      </c>
      <c r="E66" s="196" t="n">
        <f aca="false">IFERROR(IF(E53&gt;=0,0,-E53/MAX(E65,1)),0)</f>
        <v>4.58534205693297</v>
      </c>
      <c r="F66" s="196" t="n">
        <f aca="false">IFERROR(IF(F53&gt;=0,0,-F53/MAX(F65,1)),0)</f>
        <v>8.45925188814044</v>
      </c>
      <c r="G66" s="196" t="n">
        <f aca="false">IFERROR(IF(G53&gt;=0,0,-G53/MAX(G65,1)),0)</f>
        <v>1.08156110980571</v>
      </c>
      <c r="H66" s="196" t="n">
        <f aca="false">IFERROR(IF(H53&gt;=0,0,-H53/MAX(H65,1)),0)</f>
        <v>1.68239534403743</v>
      </c>
      <c r="I66" s="196" t="n">
        <f aca="false">IFERROR(IF(I53&gt;=0,0,-I53/MAX(I65,1)),0)</f>
        <v>0.519065422383991</v>
      </c>
      <c r="J66" s="196" t="n">
        <f aca="false">IFERROR(IF(J53&gt;=0,0,-J53/MAX(J65,1)),0)</f>
        <v>0.817633711488058</v>
      </c>
      <c r="K66" s="196" t="n">
        <f aca="false">IFERROR(IF(K53&gt;=0,0,-K53/MAX(K65,1)),0)</f>
        <v>0.798839107735026</v>
      </c>
      <c r="L66" s="196" t="n">
        <f aca="false">IFERROR(IF(L53&gt;=0,0,-L53/MAX(L65,1)),0)</f>
        <v>0.333832764792147</v>
      </c>
      <c r="M66" s="196" t="n">
        <f aca="false">IFERROR(IF(M53&gt;=0,0,-M53/MAX(M65,1)),0)</f>
        <v>0.539620037823936</v>
      </c>
      <c r="N66" s="196" t="n">
        <f aca="false">IFERROR(IF(N53&gt;=0,0,-N53/MAX(N65,1)),0)</f>
        <v>0.499401940694433</v>
      </c>
      <c r="O66" s="196" t="n">
        <f aca="false">IFERROR(IF(O53&gt;=0,0,-O53/MAX(O65,1)),0)</f>
        <v>0.123411781740567</v>
      </c>
      <c r="P66" s="196" t="n">
        <f aca="false">IFERROR(IF(P53&gt;=0,0,-P53/MAX(P65,1)),0)</f>
        <v>0.201995544271575</v>
      </c>
      <c r="Q66" s="196" t="n">
        <f aca="false">IFERROR(IF(Q53&gt;=0,0,-Q53/MAX(Q65,1)),0)</f>
        <v>0.141261697070482</v>
      </c>
      <c r="R66" s="196" t="n">
        <f aca="false">IFERROR(IF(R53&gt;=0,0,-R53/MAX(R65,1)),0)</f>
        <v>0.0786494834611079</v>
      </c>
      <c r="S66" s="196" t="n">
        <f aca="false">IFERROR(IF(S53&gt;=0,0,-S53/MAX(S65,1)),0)</f>
        <v>0.0141008096370106</v>
      </c>
      <c r="T66" s="196" t="n">
        <f aca="false">IFERROR(IF(T53&gt;=0,0,-T53/MAX(T65,1)),0)</f>
        <v>0</v>
      </c>
      <c r="U66" s="196" t="n">
        <f aca="false">IFERROR(IF(U53&gt;=0,0,-U53/MAX(U65,1)),0)</f>
        <v>0</v>
      </c>
      <c r="V66" s="196" t="n">
        <f aca="false">IFERROR(IF(V53&gt;=0,0,-V53/MAX(V65,1)),0)</f>
        <v>0</v>
      </c>
      <c r="W66" s="196" t="n">
        <f aca="false">IFERROR(IF(W53&gt;=0,0,-W53/MAX(W65,1)),0)</f>
        <v>0</v>
      </c>
      <c r="X66" s="196" t="n">
        <f aca="false">IFERROR(IF(X53&gt;=0,0,-X53/MAX(X65,1)),0)</f>
        <v>0</v>
      </c>
      <c r="Y66" s="196" t="n">
        <f aca="false">IFERROR(IF(Y53&gt;=0,0,-Y53/MAX(Y65,1)),0)</f>
        <v>0</v>
      </c>
      <c r="Z66" s="196" t="n">
        <f aca="false">IFERROR(IF(Z53&gt;=0,0,-Z53/MAX(Z65,1)),0)</f>
        <v>0</v>
      </c>
    </row>
    <row r="68" customFormat="false" ht="12" hidden="false" customHeight="true" outlineLevel="0" collapsed="false">
      <c r="B68" s="176" t="s">
        <v>508</v>
      </c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customFormat="false" ht="15" hidden="false" customHeight="true" outlineLevel="0" collapsed="false">
      <c r="B69" s="162" t="s">
        <v>509</v>
      </c>
      <c r="D69" s="197" t="s">
        <v>383</v>
      </c>
      <c r="F69" s="197" t="s">
        <v>384</v>
      </c>
      <c r="H69" s="197" t="s">
        <v>385</v>
      </c>
      <c r="K69" s="197" t="s">
        <v>386</v>
      </c>
      <c r="N69" s="197" t="s">
        <v>387</v>
      </c>
      <c r="T69" s="197" t="s">
        <v>388</v>
      </c>
      <c r="Z69" s="197" t="s">
        <v>389</v>
      </c>
    </row>
  </sheetData>
  <mergeCells count="7">
    <mergeCell ref="B2:Z2"/>
    <mergeCell ref="B14:Z14"/>
    <mergeCell ref="B42:Z42"/>
    <mergeCell ref="B49:Z49"/>
    <mergeCell ref="B56:Z56"/>
    <mergeCell ref="B62:Z62"/>
    <mergeCell ref="B68:Z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7" min="3" style="1" width="14"/>
    <col collapsed="false" customWidth="true" hidden="false" outlineLevel="0" max="8" min="8" style="1" width="4"/>
    <col collapsed="false" customWidth="true" hidden="false" outlineLevel="0" max="9" min="9" style="1" width="50"/>
  </cols>
  <sheetData>
    <row r="2" customFormat="false" ht="25.5" hidden="false" customHeight="true" outlineLevel="0" collapsed="false">
      <c r="B2" s="135" t="s">
        <v>510</v>
      </c>
      <c r="C2" s="135"/>
      <c r="D2" s="135"/>
      <c r="E2" s="135"/>
      <c r="F2" s="135"/>
      <c r="G2" s="135"/>
    </row>
    <row r="3" customFormat="false" ht="21.75" hidden="false" customHeight="true" outlineLevel="0" collapsed="false">
      <c r="B3" s="136" t="s">
        <v>511</v>
      </c>
    </row>
    <row r="5" customFormat="false" ht="15" hidden="false" customHeight="true" outlineLevel="0" collapsed="false">
      <c r="B5" s="113" t="s">
        <v>512</v>
      </c>
      <c r="C5" s="113"/>
      <c r="D5" s="113"/>
      <c r="E5" s="113"/>
      <c r="F5" s="113"/>
      <c r="G5" s="113"/>
    </row>
    <row r="6" customFormat="false" ht="26.25" hidden="false" customHeight="true" outlineLevel="0" collapsed="false">
      <c r="B6" s="138" t="s">
        <v>513</v>
      </c>
      <c r="C6" s="198" t="s">
        <v>514</v>
      </c>
      <c r="D6" s="198" t="s">
        <v>515</v>
      </c>
      <c r="E6" s="198" t="s">
        <v>516</v>
      </c>
      <c r="F6" s="198" t="s">
        <v>517</v>
      </c>
      <c r="G6" s="138" t="s">
        <v>518</v>
      </c>
    </row>
    <row r="7" customFormat="false" ht="26.25" hidden="false" customHeight="true" outlineLevel="0" collapsed="false">
      <c r="B7" s="108" t="s">
        <v>519</v>
      </c>
      <c r="C7" s="147" t="n">
        <v>18000</v>
      </c>
      <c r="D7" s="147" t="n">
        <v>33000</v>
      </c>
      <c r="E7" s="147" t="n">
        <v>51000</v>
      </c>
      <c r="F7" s="147" t="n">
        <v>63000</v>
      </c>
      <c r="G7" s="199" t="n">
        <f aca="false">SUM(C7:F7)</f>
        <v>165000</v>
      </c>
    </row>
    <row r="8" customFormat="false" ht="26.25" hidden="false" customHeight="true" outlineLevel="0" collapsed="false">
      <c r="B8" s="108" t="s">
        <v>520</v>
      </c>
      <c r="C8" s="147" t="n">
        <v>1500</v>
      </c>
      <c r="D8" s="147" t="n">
        <v>2400</v>
      </c>
      <c r="E8" s="147" t="n">
        <v>4200</v>
      </c>
      <c r="F8" s="200" t="n">
        <v>6400</v>
      </c>
      <c r="G8" s="199" t="n">
        <f aca="false">SUM(C8:F8)</f>
        <v>14500</v>
      </c>
    </row>
    <row r="9" customFormat="false" ht="26.25" hidden="false" customHeight="true" outlineLevel="0" collapsed="false">
      <c r="B9" s="108" t="s">
        <v>521</v>
      </c>
      <c r="C9" s="147" t="n">
        <v>6000</v>
      </c>
      <c r="D9" s="147" t="n">
        <v>18000</v>
      </c>
      <c r="E9" s="147" t="n">
        <v>22000</v>
      </c>
      <c r="F9" s="147" t="n">
        <v>24000</v>
      </c>
      <c r="G9" s="199" t="n">
        <f aca="false">SUM(C9:F9)</f>
        <v>70000</v>
      </c>
    </row>
    <row r="10" customFormat="false" ht="26.25" hidden="false" customHeight="true" outlineLevel="0" collapsed="false">
      <c r="B10" s="108" t="s">
        <v>522</v>
      </c>
      <c r="C10" s="147" t="n">
        <v>1500</v>
      </c>
      <c r="D10" s="147" t="n">
        <v>2100</v>
      </c>
      <c r="E10" s="147" t="n">
        <v>3000</v>
      </c>
      <c r="F10" s="147" t="n">
        <v>3600</v>
      </c>
      <c r="G10" s="199" t="n">
        <f aca="false">SUM(C10:F10)</f>
        <v>10200</v>
      </c>
    </row>
    <row r="11" customFormat="false" ht="26.25" hidden="false" customHeight="true" outlineLevel="0" collapsed="false">
      <c r="B11" s="108" t="s">
        <v>523</v>
      </c>
      <c r="C11" s="147" t="n">
        <v>2500</v>
      </c>
      <c r="D11" s="147" t="n">
        <v>3500</v>
      </c>
      <c r="E11" s="147" t="n">
        <v>5000</v>
      </c>
      <c r="F11" s="147" t="n">
        <v>5000</v>
      </c>
      <c r="G11" s="199" t="n">
        <f aca="false">SUM(C11:F11)</f>
        <v>16000</v>
      </c>
    </row>
    <row r="12" customFormat="false" ht="15" hidden="false" customHeight="true" outlineLevel="0" collapsed="false">
      <c r="B12" s="108" t="s">
        <v>524</v>
      </c>
      <c r="C12" s="147" t="n">
        <v>0</v>
      </c>
      <c r="D12" s="147" t="n">
        <v>0</v>
      </c>
      <c r="E12" s="147" t="n">
        <v>0</v>
      </c>
      <c r="F12" s="147" t="n">
        <v>24300</v>
      </c>
      <c r="G12" s="199" t="n">
        <f aca="false">SUM(C12:F12)</f>
        <v>24300</v>
      </c>
    </row>
    <row r="13" customFormat="false" ht="15" hidden="false" customHeight="true" outlineLevel="0" collapsed="false">
      <c r="B13" s="138" t="s">
        <v>525</v>
      </c>
      <c r="C13" s="157" t="n">
        <f aca="false">SUM(C7:C12)</f>
        <v>29500</v>
      </c>
      <c r="D13" s="157" t="n">
        <f aca="false">SUM(D7:D12)</f>
        <v>59000</v>
      </c>
      <c r="E13" s="157" t="n">
        <f aca="false">SUM(E7:E12)</f>
        <v>85200</v>
      </c>
      <c r="F13" s="157" t="n">
        <f aca="false">SUM(F7:F12)</f>
        <v>126300</v>
      </c>
      <c r="G13" s="159" t="n">
        <f aca="false">SUM(C13:F13)</f>
        <v>300000</v>
      </c>
    </row>
    <row r="14" customFormat="false" ht="15" hidden="false" customHeight="true" outlineLevel="0" collapsed="false">
      <c r="B14" s="97" t="s">
        <v>526</v>
      </c>
      <c r="C14" s="156" t="n">
        <f aca="false">C13/$G$13</f>
        <v>0.0983333333333333</v>
      </c>
      <c r="D14" s="156" t="n">
        <f aca="false">D13/$G$13</f>
        <v>0.196666666666667</v>
      </c>
      <c r="E14" s="156" t="n">
        <f aca="false">E13/$G$13</f>
        <v>0.284</v>
      </c>
      <c r="F14" s="156" t="n">
        <f aca="false">F13/$G$13</f>
        <v>0.421</v>
      </c>
      <c r="G14" s="201" t="n">
        <f aca="false">SUM(C14:F14)</f>
        <v>1</v>
      </c>
    </row>
    <row r="16" customFormat="false" ht="15" hidden="false" customHeight="true" outlineLevel="0" collapsed="false">
      <c r="B16" s="113" t="s">
        <v>527</v>
      </c>
      <c r="C16" s="113"/>
      <c r="D16" s="113"/>
      <c r="E16" s="113"/>
      <c r="F16" s="113"/>
      <c r="G16" s="113"/>
    </row>
    <row r="17" customFormat="false" ht="26.25" hidden="false" customHeight="true" outlineLevel="0" collapsed="false">
      <c r="B17" s="138" t="s">
        <v>528</v>
      </c>
      <c r="C17" s="138" t="s">
        <v>529</v>
      </c>
      <c r="D17" s="138" t="s">
        <v>530</v>
      </c>
      <c r="E17" s="138"/>
      <c r="F17" s="138"/>
      <c r="G17" s="138"/>
    </row>
    <row r="18" customFormat="false" ht="26.25" hidden="false" customHeight="true" outlineLevel="0" collapsed="false">
      <c r="B18" s="97" t="s">
        <v>531</v>
      </c>
      <c r="C18" s="108" t="s">
        <v>532</v>
      </c>
      <c r="D18" s="108" t="s">
        <v>533</v>
      </c>
      <c r="E18" s="108"/>
      <c r="F18" s="108"/>
      <c r="G18" s="108"/>
    </row>
    <row r="19" customFormat="false" ht="26.25" hidden="false" customHeight="true" outlineLevel="0" collapsed="false">
      <c r="B19" s="97" t="s">
        <v>534</v>
      </c>
      <c r="C19" s="108" t="s">
        <v>209</v>
      </c>
      <c r="D19" s="108" t="s">
        <v>535</v>
      </c>
      <c r="E19" s="108"/>
      <c r="F19" s="108"/>
      <c r="G19" s="108"/>
    </row>
    <row r="20" customFormat="false" ht="26.25" hidden="false" customHeight="true" outlineLevel="0" collapsed="false">
      <c r="B20" s="97" t="s">
        <v>536</v>
      </c>
      <c r="C20" s="108" t="s">
        <v>221</v>
      </c>
      <c r="D20" s="108" t="s">
        <v>537</v>
      </c>
      <c r="E20" s="108"/>
      <c r="F20" s="108"/>
      <c r="G20" s="108"/>
    </row>
    <row r="21" customFormat="false" ht="26.25" hidden="false" customHeight="true" outlineLevel="0" collapsed="false">
      <c r="B21" s="97" t="s">
        <v>538</v>
      </c>
      <c r="C21" s="108" t="s">
        <v>449</v>
      </c>
      <c r="D21" s="108" t="s">
        <v>539</v>
      </c>
      <c r="E21" s="108"/>
      <c r="F21" s="108"/>
      <c r="G21" s="108"/>
    </row>
    <row r="23" customFormat="false" ht="15" hidden="false" customHeight="true" outlineLevel="0" collapsed="false">
      <c r="B23" s="113" t="s">
        <v>540</v>
      </c>
      <c r="C23" s="113"/>
      <c r="D23" s="113"/>
      <c r="E23" s="113"/>
      <c r="F23" s="113"/>
      <c r="G23" s="113"/>
    </row>
    <row r="24" customFormat="false" ht="15" hidden="false" customHeight="true" outlineLevel="0" collapsed="false">
      <c r="B24" s="97" t="s">
        <v>541</v>
      </c>
      <c r="C24" s="158" t="n">
        <f aca="false">C13/6</f>
        <v>4916.66666666667</v>
      </c>
      <c r="D24" s="158" t="n">
        <f aca="false">D13/6</f>
        <v>9833.33333333333</v>
      </c>
      <c r="E24" s="158" t="n">
        <f aca="false">E13/6</f>
        <v>14200</v>
      </c>
      <c r="F24" s="158" t="n">
        <f aca="false">F13/6</f>
        <v>21050</v>
      </c>
      <c r="G24" s="159" t="n">
        <f aca="false">G13/24</f>
        <v>12500</v>
      </c>
    </row>
    <row r="25" customFormat="false" ht="15" hidden="false" customHeight="true" outlineLevel="0" collapsed="false">
      <c r="B25" s="97" t="s">
        <v>542</v>
      </c>
      <c r="C25" s="158" t="n">
        <f aca="false">300000-C13</f>
        <v>270500</v>
      </c>
      <c r="D25" s="158" t="n">
        <f aca="false">C25-D13</f>
        <v>211500</v>
      </c>
      <c r="E25" s="158" t="n">
        <f aca="false">D25-E13</f>
        <v>126300</v>
      </c>
      <c r="F25" s="202" t="n">
        <f aca="false">E25-F13</f>
        <v>0</v>
      </c>
    </row>
    <row r="26" customFormat="false" ht="26.25" hidden="false" customHeight="true" outlineLevel="0" collapsed="false">
      <c r="B26" s="203" t="s">
        <v>543</v>
      </c>
      <c r="C26" s="204" t="n">
        <f aca="false">IFERROR(C25/C24,0)</f>
        <v>55.0169491525424</v>
      </c>
      <c r="D26" s="204" t="n">
        <f aca="false">IFERROR(D25/D24,0)</f>
        <v>21.5084745762712</v>
      </c>
      <c r="E26" s="204" t="n">
        <f aca="false">IFERROR(E25/E24,0)</f>
        <v>8.8943661971831</v>
      </c>
      <c r="F26" s="204" t="n">
        <f aca="false">IFERROR(F25/F24,0)</f>
        <v>0</v>
      </c>
    </row>
    <row r="28" customFormat="false" ht="15" hidden="false" customHeight="true" outlineLevel="0" collapsed="false">
      <c r="B28" s="113" t="s">
        <v>544</v>
      </c>
      <c r="C28" s="113"/>
      <c r="D28" s="113"/>
      <c r="E28" s="113"/>
      <c r="F28" s="113"/>
      <c r="G28" s="113"/>
    </row>
    <row r="29" customFormat="false" ht="26.25" hidden="false" customHeight="true" outlineLevel="0" collapsed="false">
      <c r="B29" s="108" t="s">
        <v>545</v>
      </c>
      <c r="C29" s="158" t="n">
        <f aca="false">G13</f>
        <v>300000</v>
      </c>
      <c r="D29" s="108" t="s">
        <v>546</v>
      </c>
      <c r="E29" s="158" t="n">
        <f aca="false">300000-G13</f>
        <v>0</v>
      </c>
      <c r="F29" s="108" t="s">
        <v>547</v>
      </c>
      <c r="G29" s="205" t="str">
        <f aca="false">IF(ABS(300000-G13)&lt;1000,"OK","REVISAR")</f>
        <v>OK</v>
      </c>
    </row>
  </sheetData>
  <mergeCells count="10">
    <mergeCell ref="B2:G2"/>
    <mergeCell ref="B5:G5"/>
    <mergeCell ref="B16:G16"/>
    <mergeCell ref="D17:G17"/>
    <mergeCell ref="D18:G18"/>
    <mergeCell ref="D19:G19"/>
    <mergeCell ref="D20:G20"/>
    <mergeCell ref="D21:G21"/>
    <mergeCell ref="B23:G23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4"/>
    <col collapsed="false" customWidth="true" hidden="false" outlineLevel="0" max="7" min="7" style="1" width="60"/>
  </cols>
  <sheetData>
    <row r="2" customFormat="false" ht="25.5" hidden="false" customHeight="true" outlineLevel="0" collapsed="false">
      <c r="B2" s="135" t="s">
        <v>548</v>
      </c>
      <c r="C2" s="135"/>
      <c r="D2" s="135"/>
      <c r="E2" s="135"/>
    </row>
    <row r="3" customFormat="false" ht="32.25" hidden="false" customHeight="true" outlineLevel="0" collapsed="false">
      <c r="B3" s="136" t="s">
        <v>549</v>
      </c>
    </row>
    <row r="5" customFormat="false" ht="15" hidden="false" customHeight="true" outlineLevel="0" collapsed="false">
      <c r="B5" s="113" t="s">
        <v>550</v>
      </c>
      <c r="C5" s="113"/>
      <c r="D5" s="113"/>
      <c r="E5" s="113"/>
    </row>
    <row r="6" customFormat="false" ht="26.25" hidden="false" customHeight="true" outlineLevel="0" collapsed="false">
      <c r="B6" s="138" t="s">
        <v>551</v>
      </c>
      <c r="C6" s="138" t="s">
        <v>552</v>
      </c>
      <c r="D6" s="138" t="s">
        <v>553</v>
      </c>
      <c r="E6" s="138" t="s">
        <v>340</v>
      </c>
    </row>
    <row r="7" customFormat="false" ht="39" hidden="false" customHeight="true" outlineLevel="0" collapsed="false">
      <c r="B7" s="108" t="s">
        <v>554</v>
      </c>
      <c r="C7" s="115" t="n">
        <f aca="false">'Monthly 24m'!Z43</f>
        <v>79983.3160377176</v>
      </c>
      <c r="D7" s="203" t="s">
        <v>555</v>
      </c>
      <c r="E7" s="206" t="str">
        <f aca="false">IF(C7&gt;=25000,"VERDE",IF(C7&gt;=10000,"AMBAR","ROJO"))</f>
        <v>VERDE</v>
      </c>
    </row>
    <row r="8" customFormat="false" ht="51.75" hidden="false" customHeight="true" outlineLevel="0" collapsed="false">
      <c r="B8" s="108" t="s">
        <v>357</v>
      </c>
      <c r="C8" s="115" t="n">
        <f aca="false">'Monthly 24m'!Z64</f>
        <v>959799.792452611</v>
      </c>
      <c r="D8" s="203" t="s">
        <v>556</v>
      </c>
      <c r="E8" s="206" t="str">
        <f aca="false">IF(C8&gt;=300000,"VERDE",IF(C8&gt;=100000,"AMBAR","ROJO"))</f>
        <v>VERDE</v>
      </c>
    </row>
    <row r="9" customFormat="false" ht="39" hidden="false" customHeight="true" outlineLevel="0" collapsed="false">
      <c r="B9" s="108" t="s">
        <v>557</v>
      </c>
      <c r="C9" s="120" t="n">
        <f aca="false">SUM('Monthly 24m'!C65:Z65)/SUM('Monthly 24m'!C51:Z51)</f>
        <v>2.44223865764023</v>
      </c>
      <c r="D9" s="203" t="s">
        <v>558</v>
      </c>
      <c r="E9" s="206" t="str">
        <f aca="false">IF(C9&gt;=0.75,"VERDE",IF(C9&gt;=0.5,"AMBAR","ROJO"))</f>
        <v>VERDE</v>
      </c>
    </row>
    <row r="10" customFormat="false" ht="39" hidden="false" customHeight="true" outlineLevel="0" collapsed="false">
      <c r="B10" s="108" t="s">
        <v>559</v>
      </c>
      <c r="C10" s="119" t="n">
        <f aca="false">IFERROR((300000-MIN('Monthly 24m'!C59:Z59))/('Monthly 24m'!Z64),99)</f>
        <v>0.16347240130987</v>
      </c>
      <c r="D10" s="203" t="s">
        <v>560</v>
      </c>
      <c r="E10" s="206" t="str">
        <f aca="false">IF(C10&lt;=1,"VERDE",IF(C10&lt;=2,"AMBAR","ROJO"))</f>
        <v>VERDE</v>
      </c>
    </row>
    <row r="11" customFormat="false" ht="26.25" hidden="false" customHeight="true" outlineLevel="0" collapsed="false">
      <c r="B11" s="108" t="s">
        <v>561</v>
      </c>
      <c r="C11" s="207" t="n">
        <f aca="false">IFERROR('Monthly 24m'!Z64/'Monthly 24m'!N64-1+'Monthly 24m'!Z53*12/'Monthly 24m'!Z64,0)</f>
        <v>4.25406381254935</v>
      </c>
      <c r="D11" s="203" t="s">
        <v>562</v>
      </c>
      <c r="E11" s="206" t="str">
        <f aca="false">IF(C11&gt;=0.4,"VERDE",IF(C11&gt;=0,"AMBAR","ROJO"))</f>
        <v>VERDE</v>
      </c>
    </row>
    <row r="13" customFormat="false" ht="15" hidden="false" customHeight="true" outlineLevel="0" collapsed="false">
      <c r="B13" s="113" t="s">
        <v>563</v>
      </c>
      <c r="C13" s="113"/>
      <c r="D13" s="113"/>
      <c r="E13" s="113"/>
    </row>
    <row r="14" customFormat="false" ht="15" hidden="false" customHeight="true" outlineLevel="0" collapsed="false">
      <c r="B14" s="138" t="s">
        <v>551</v>
      </c>
      <c r="C14" s="138" t="s">
        <v>48</v>
      </c>
      <c r="D14" s="138" t="s">
        <v>564</v>
      </c>
      <c r="E14" s="138" t="s">
        <v>340</v>
      </c>
    </row>
    <row r="15" customFormat="false" ht="51.75" hidden="false" customHeight="true" outlineLevel="0" collapsed="false">
      <c r="B15" s="108" t="s">
        <v>565</v>
      </c>
      <c r="C15" s="207" t="n">
        <f aca="false">Assumptions!D28</f>
        <v>1.05</v>
      </c>
      <c r="D15" s="203" t="s">
        <v>566</v>
      </c>
      <c r="E15" s="206" t="str">
        <f aca="false">IF(C15&gt;=1.2,"VERDE",IF(C15&gt;=1,"AMBAR","ROJO"))</f>
        <v>AMBAR</v>
      </c>
    </row>
    <row r="16" customFormat="false" ht="51.75" hidden="false" customHeight="true" outlineLevel="0" collapsed="false">
      <c r="B16" s="108" t="s">
        <v>567</v>
      </c>
      <c r="C16" s="207" t="n">
        <f aca="false">1-Assumptions!D27</f>
        <v>0.6</v>
      </c>
      <c r="D16" s="203" t="s">
        <v>568</v>
      </c>
      <c r="E16" s="206" t="str">
        <f aca="false">IF(C16&gt;=0.7,"VERDE",IF(C16&gt;=0.5,"AMBAR","ROJO"))</f>
        <v>AMBAR</v>
      </c>
    </row>
    <row r="17" customFormat="false" ht="26.25" hidden="false" customHeight="true" outlineLevel="0" collapsed="false">
      <c r="B17" s="108" t="s">
        <v>342</v>
      </c>
      <c r="C17" s="120" t="n">
        <f aca="false">LTV!D16/CAC!D17</f>
        <v>5.13785922532278</v>
      </c>
      <c r="D17" s="203" t="s">
        <v>569</v>
      </c>
      <c r="E17" s="206" t="str">
        <f aca="false">IF(C17&gt;=3,"VERDE",IF(C17&gt;=2,"AMBAR","ROJO"))</f>
        <v>VERDE</v>
      </c>
    </row>
    <row r="18" customFormat="false" ht="39" hidden="false" customHeight="true" outlineLevel="0" collapsed="false">
      <c r="B18" s="108" t="s">
        <v>570</v>
      </c>
      <c r="C18" s="208" t="n">
        <f aca="false">CAC!D17/(LTV!D9/12)</f>
        <v>6.67315175097276</v>
      </c>
      <c r="D18" s="203" t="s">
        <v>571</v>
      </c>
      <c r="E18" s="206" t="str">
        <f aca="false">IF(C18&lt;=12,"VERDE",IF(C18&lt;=18,"AMBAR","ROJO"))</f>
        <v>VERDE</v>
      </c>
    </row>
    <row r="20" customFormat="false" ht="15" hidden="false" customHeight="true" outlineLevel="0" collapsed="false">
      <c r="B20" s="113" t="s">
        <v>572</v>
      </c>
      <c r="C20" s="113"/>
      <c r="D20" s="113"/>
      <c r="E20" s="113"/>
    </row>
    <row r="21" customFormat="false" ht="15" hidden="false" customHeight="true" outlineLevel="0" collapsed="false">
      <c r="B21" s="138" t="s">
        <v>551</v>
      </c>
      <c r="C21" s="138" t="s">
        <v>48</v>
      </c>
      <c r="D21" s="138" t="s">
        <v>564</v>
      </c>
      <c r="E21" s="138" t="s">
        <v>340</v>
      </c>
    </row>
    <row r="22" customFormat="false" ht="39" hidden="false" customHeight="true" outlineLevel="0" collapsed="false">
      <c r="B22" s="108" t="s">
        <v>124</v>
      </c>
      <c r="C22" s="207" t="n">
        <f aca="false">'Gross Margin'!D24</f>
        <v>0.785932721712538</v>
      </c>
      <c r="D22" s="203" t="s">
        <v>573</v>
      </c>
      <c r="E22" s="206" t="str">
        <f aca="false">IF(C22&gt;=0.7,"VERDE",IF(C22&gt;=0.6,"AMBAR","ROJO"))</f>
        <v>VERDE</v>
      </c>
    </row>
    <row r="23" customFormat="false" ht="26.25" hidden="false" customHeight="true" outlineLevel="0" collapsed="false">
      <c r="B23" s="108" t="s">
        <v>332</v>
      </c>
      <c r="C23" s="115" t="n">
        <f aca="false">CAC!D17</f>
        <v>85.75</v>
      </c>
      <c r="D23" s="203" t="s">
        <v>574</v>
      </c>
      <c r="E23" s="206" t="str">
        <f aca="false">IF(C23&lt;=150,"VERDE",IF(C23&lt;=250,"AMBAR","ROJO"))</f>
        <v>VERDE</v>
      </c>
    </row>
    <row r="24" customFormat="false" ht="39" hidden="false" customHeight="true" outlineLevel="0" collapsed="false">
      <c r="B24" s="108" t="s">
        <v>575</v>
      </c>
      <c r="C24" s="114" t="n">
        <f aca="false">'Monthly 24m'!Z40</f>
        <v>2491.69208840242</v>
      </c>
      <c r="D24" s="203" t="s">
        <v>576</v>
      </c>
      <c r="E24" s="206" t="str">
        <f aca="false">IF(C24&gt;=1000,"VERDE",IF(C24&gt;=300,"AMBAR","ROJO"))</f>
        <v>VERDE</v>
      </c>
    </row>
    <row r="25" customFormat="false" ht="26.25" hidden="false" customHeight="true" outlineLevel="0" collapsed="false">
      <c r="B25" s="108" t="s">
        <v>577</v>
      </c>
      <c r="C25" s="115" t="n">
        <f aca="false">'Monthly 24m'!Z44</f>
        <v>411129.194586399</v>
      </c>
      <c r="D25" s="203" t="s">
        <v>578</v>
      </c>
      <c r="E25" s="206" t="str">
        <f aca="false">IF(C25&gt;=50000,"VERDE",IF(C25&gt;=20000,"AMBAR","ROJO"))</f>
        <v>VERDE</v>
      </c>
    </row>
    <row r="27" customFormat="false" ht="15" hidden="false" customHeight="true" outlineLevel="0" collapsed="false">
      <c r="B27" s="113" t="s">
        <v>579</v>
      </c>
      <c r="C27" s="113"/>
      <c r="D27" s="113"/>
      <c r="E27" s="113"/>
    </row>
    <row r="28" customFormat="false" ht="15" hidden="false" customHeight="true" outlineLevel="0" collapsed="false">
      <c r="B28" s="138" t="s">
        <v>580</v>
      </c>
      <c r="C28" s="138" t="s">
        <v>581</v>
      </c>
      <c r="D28" s="138" t="s">
        <v>582</v>
      </c>
      <c r="E28" s="138" t="s">
        <v>583</v>
      </c>
    </row>
    <row r="29" customFormat="false" ht="15" hidden="false" customHeight="true" outlineLevel="0" collapsed="false">
      <c r="B29" s="108" t="s">
        <v>584</v>
      </c>
      <c r="C29" s="115" t="n">
        <f aca="false">'Monthly 24m'!Z64</f>
        <v>959799.792452611</v>
      </c>
      <c r="D29" s="209" t="n">
        <v>1000000</v>
      </c>
      <c r="E29" s="206" t="str">
        <f aca="false">IF(C29&gt;=D29,"SI","NO")</f>
        <v>NO</v>
      </c>
    </row>
    <row r="30" customFormat="false" ht="15" hidden="false" customHeight="true" outlineLevel="0" collapsed="false">
      <c r="B30" s="108" t="s">
        <v>585</v>
      </c>
      <c r="C30" s="119" t="n">
        <f aca="false">LTV!D16/CAC!D17</f>
        <v>5.13785922532278</v>
      </c>
      <c r="D30" s="210" t="n">
        <v>3</v>
      </c>
      <c r="E30" s="206" t="str">
        <f aca="false">IF(C30&gt;=D30,"SI","NO")</f>
        <v>SI</v>
      </c>
    </row>
    <row r="31" customFormat="false" ht="15" hidden="false" customHeight="true" outlineLevel="0" collapsed="false">
      <c r="B31" s="108" t="s">
        <v>586</v>
      </c>
      <c r="C31" s="207" t="n">
        <f aca="false">Assumptions!D28</f>
        <v>1.05</v>
      </c>
      <c r="D31" s="211" t="n">
        <v>1</v>
      </c>
      <c r="E31" s="206" t="str">
        <f aca="false">IF(C31&gt;=D31,"SI","NO")</f>
        <v>SI</v>
      </c>
    </row>
    <row r="32" customFormat="false" ht="15" hidden="false" customHeight="true" outlineLevel="0" collapsed="false">
      <c r="B32" s="108" t="s">
        <v>587</v>
      </c>
      <c r="C32" s="207" t="n">
        <f aca="false">IFERROR('Monthly 24m'!Z64/'Monthly 24m'!N64-1,0)</f>
        <v>3.95767384196527</v>
      </c>
      <c r="D32" s="211" t="n">
        <v>1</v>
      </c>
      <c r="E32" s="206" t="str">
        <f aca="false">IF(C32&gt;=D32,"SI","NO")</f>
        <v>SI</v>
      </c>
    </row>
    <row r="33" customFormat="false" ht="15" hidden="false" customHeight="true" outlineLevel="0" collapsed="false">
      <c r="B33" s="108" t="s">
        <v>588</v>
      </c>
      <c r="C33" s="119" t="n">
        <f aca="false">IFERROR((300000-MIN('Monthly 24m'!C59:Z59))/('Monthly 24m'!Z64),99)</f>
        <v>0.16347240130987</v>
      </c>
      <c r="D33" s="210" t="n">
        <v>2</v>
      </c>
      <c r="E33" s="206" t="str">
        <f aca="false">IF(C33&lt;=D33,"SI","NO")</f>
        <v>SI</v>
      </c>
    </row>
  </sheetData>
  <mergeCells count="5">
    <mergeCell ref="B2:E2"/>
    <mergeCell ref="B5:E5"/>
    <mergeCell ref="B13:E13"/>
    <mergeCell ref="B20:E20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6"/>
    <col collapsed="false" customWidth="true" hidden="false" outlineLevel="0" max="6" min="6" style="1" width="4"/>
    <col collapsed="false" customWidth="true" hidden="false" outlineLevel="0" max="7" min="7" style="1" width="50"/>
  </cols>
  <sheetData>
    <row r="2" customFormat="false" ht="25.5" hidden="false" customHeight="true" outlineLevel="0" collapsed="false">
      <c r="B2" s="135" t="s">
        <v>589</v>
      </c>
      <c r="C2" s="135"/>
      <c r="D2" s="135"/>
      <c r="E2" s="135"/>
    </row>
    <row r="5" customFormat="false" ht="15" hidden="false" customHeight="true" outlineLevel="0" collapsed="false">
      <c r="B5" s="113" t="s">
        <v>590</v>
      </c>
      <c r="C5" s="113"/>
      <c r="D5" s="113"/>
      <c r="E5" s="113"/>
    </row>
    <row r="6" customFormat="false" ht="15" hidden="false" customHeight="true" outlineLevel="0" collapsed="false">
      <c r="B6" s="138" t="s">
        <v>47</v>
      </c>
      <c r="C6" s="107" t="s">
        <v>591</v>
      </c>
      <c r="D6" s="107" t="s">
        <v>592</v>
      </c>
      <c r="E6" s="107" t="s">
        <v>593</v>
      </c>
    </row>
    <row r="7" customFormat="false" ht="15" hidden="false" customHeight="true" outlineLevel="0" collapsed="false">
      <c r="B7" s="108" t="s">
        <v>594</v>
      </c>
      <c r="C7" s="147" t="n">
        <v>300000</v>
      </c>
      <c r="D7" s="147" t="n">
        <v>300000</v>
      </c>
      <c r="E7" s="147" t="n">
        <v>300000</v>
      </c>
    </row>
    <row r="8" customFormat="false" ht="15" hidden="false" customHeight="true" outlineLevel="0" collapsed="false">
      <c r="B8" s="108" t="s">
        <v>595</v>
      </c>
      <c r="C8" s="147" t="n">
        <v>1500000</v>
      </c>
      <c r="D8" s="147" t="n">
        <v>2000000</v>
      </c>
      <c r="E8" s="147" t="n">
        <v>2500000</v>
      </c>
    </row>
    <row r="9" customFormat="false" ht="15" hidden="false" customHeight="true" outlineLevel="0" collapsed="false">
      <c r="B9" s="97" t="s">
        <v>596</v>
      </c>
      <c r="C9" s="158" t="n">
        <f aca="false">C8-C7</f>
        <v>1200000</v>
      </c>
      <c r="D9" s="158" t="n">
        <f aca="false">D8-D7</f>
        <v>1700000</v>
      </c>
      <c r="E9" s="158" t="n">
        <f aca="false">E8-E7</f>
        <v>2200000</v>
      </c>
    </row>
    <row r="10" customFormat="false" ht="15" hidden="false" customHeight="true" outlineLevel="0" collapsed="false">
      <c r="B10" s="97" t="s">
        <v>597</v>
      </c>
      <c r="C10" s="212" t="n">
        <f aca="false">C7/C8</f>
        <v>0.2</v>
      </c>
      <c r="D10" s="212" t="n">
        <f aca="false">D7/D8</f>
        <v>0.15</v>
      </c>
      <c r="E10" s="212" t="n">
        <f aca="false">E7/E8</f>
        <v>0.12</v>
      </c>
    </row>
    <row r="11" customFormat="false" ht="15" hidden="false" customHeight="true" outlineLevel="0" collapsed="false">
      <c r="B11" s="108" t="s">
        <v>598</v>
      </c>
      <c r="C11" s="153" t="n">
        <f aca="false">1-C10</f>
        <v>0.8</v>
      </c>
      <c r="D11" s="153" t="n">
        <f aca="false">1-D10</f>
        <v>0.85</v>
      </c>
      <c r="E11" s="153" t="n">
        <f aca="false">1-E10</f>
        <v>0.88</v>
      </c>
    </row>
    <row r="13" customFormat="false" ht="15" hidden="false" customHeight="true" outlineLevel="0" collapsed="false">
      <c r="B13" s="113" t="s">
        <v>599</v>
      </c>
      <c r="C13" s="113"/>
      <c r="D13" s="113"/>
      <c r="E13" s="113"/>
    </row>
    <row r="14" customFormat="false" ht="15" hidden="false" customHeight="true" outlineLevel="0" collapsed="false">
      <c r="B14" s="108" t="s">
        <v>600</v>
      </c>
      <c r="C14" s="149" t="n">
        <v>0.05</v>
      </c>
      <c r="D14" s="149" t="n">
        <v>0.1</v>
      </c>
      <c r="E14" s="149" t="n">
        <v>0.1</v>
      </c>
      <c r="G14" s="136" t="s">
        <v>601</v>
      </c>
    </row>
    <row r="15" customFormat="false" ht="15" hidden="false" customHeight="true" outlineLevel="0" collapsed="false">
      <c r="B15" s="108" t="s">
        <v>602</v>
      </c>
      <c r="C15" s="153" t="n">
        <f aca="false">C11-C14</f>
        <v>0.75</v>
      </c>
      <c r="D15" s="213" t="n">
        <f aca="false">D11-D14</f>
        <v>0.75</v>
      </c>
      <c r="E15" s="153" t="n">
        <f aca="false">E11-E14</f>
        <v>0.78</v>
      </c>
    </row>
    <row r="17" customFormat="false" ht="15" hidden="false" customHeight="true" outlineLevel="0" collapsed="false">
      <c r="B17" s="113" t="s">
        <v>603</v>
      </c>
      <c r="C17" s="113"/>
      <c r="D17" s="113"/>
      <c r="E17" s="113"/>
    </row>
    <row r="18" customFormat="false" ht="15" hidden="false" customHeight="true" outlineLevel="0" collapsed="false">
      <c r="B18" s="138" t="s">
        <v>604</v>
      </c>
      <c r="C18" s="138" t="s">
        <v>605</v>
      </c>
      <c r="D18" s="138" t="s">
        <v>606</v>
      </c>
      <c r="E18" s="138" t="s">
        <v>607</v>
      </c>
    </row>
    <row r="19" customFormat="false" ht="15" hidden="false" customHeight="true" outlineLevel="0" collapsed="false">
      <c r="B19" s="108" t="s">
        <v>608</v>
      </c>
      <c r="C19" s="108" t="s">
        <v>609</v>
      </c>
      <c r="D19" s="214" t="n">
        <v>1500000</v>
      </c>
      <c r="E19" s="214" t="n">
        <v>6000000</v>
      </c>
    </row>
    <row r="20" customFormat="false" ht="15" hidden="false" customHeight="true" outlineLevel="0" collapsed="false">
      <c r="B20" s="108" t="s">
        <v>610</v>
      </c>
      <c r="C20" s="108" t="s">
        <v>611</v>
      </c>
      <c r="D20" s="214" t="n">
        <v>4000000</v>
      </c>
      <c r="E20" s="214" t="n">
        <v>15000000</v>
      </c>
    </row>
    <row r="21" customFormat="false" ht="15" hidden="false" customHeight="true" outlineLevel="0" collapsed="false">
      <c r="B21" s="108" t="s">
        <v>612</v>
      </c>
      <c r="C21" s="108" t="s">
        <v>613</v>
      </c>
      <c r="D21" s="214" t="n">
        <v>500000</v>
      </c>
      <c r="E21" s="214" t="n">
        <v>3000000</v>
      </c>
    </row>
    <row r="22" customFormat="false" ht="15" hidden="false" customHeight="true" outlineLevel="0" collapsed="false">
      <c r="B22" s="108" t="s">
        <v>614</v>
      </c>
      <c r="C22" s="108" t="s">
        <v>615</v>
      </c>
      <c r="D22" s="214" t="n">
        <v>350000</v>
      </c>
      <c r="E22" s="214" t="n">
        <v>2200000</v>
      </c>
    </row>
    <row r="23" customFormat="false" ht="15" hidden="false" customHeight="true" outlineLevel="0" collapsed="false">
      <c r="B23" s="108" t="s">
        <v>616</v>
      </c>
      <c r="C23" s="108" t="s">
        <v>617</v>
      </c>
      <c r="D23" s="214" t="n">
        <v>40000</v>
      </c>
      <c r="E23" s="214" t="n">
        <v>600000</v>
      </c>
    </row>
    <row r="25" customFormat="false" ht="15" hidden="false" customHeight="true" outlineLevel="0" collapsed="false">
      <c r="B25" s="97" t="s">
        <v>618</v>
      </c>
      <c r="C25" s="156" t="n">
        <f aca="false">MEDIAN(D19:D23)/MEDIAN(E19:E23)</f>
        <v>0.166666666666667</v>
      </c>
      <c r="G25" s="136" t="s">
        <v>619</v>
      </c>
    </row>
    <row r="27" customFormat="false" ht="15" hidden="false" customHeight="true" outlineLevel="0" collapsed="false">
      <c r="B27" s="113" t="s">
        <v>620</v>
      </c>
      <c r="C27" s="113"/>
      <c r="D27" s="113"/>
      <c r="E27" s="113"/>
    </row>
    <row r="28" customFormat="false" ht="15" hidden="false" customHeight="true" outlineLevel="0" collapsed="false">
      <c r="B28" s="138" t="s">
        <v>621</v>
      </c>
      <c r="C28" s="138" t="s">
        <v>622</v>
      </c>
      <c r="D28" s="138"/>
      <c r="E28" s="138"/>
    </row>
    <row r="29" customFormat="false" ht="15" hidden="false" customHeight="true" outlineLevel="0" collapsed="false">
      <c r="B29" s="108" t="s">
        <v>623</v>
      </c>
      <c r="C29" s="108" t="s">
        <v>624</v>
      </c>
      <c r="D29" s="108"/>
      <c r="E29" s="108"/>
    </row>
    <row r="30" customFormat="false" ht="26.25" hidden="false" customHeight="true" outlineLevel="0" collapsed="false">
      <c r="B30" s="108" t="s">
        <v>625</v>
      </c>
      <c r="C30" s="108" t="s">
        <v>626</v>
      </c>
      <c r="D30" s="108"/>
      <c r="E30" s="108"/>
    </row>
    <row r="31" customFormat="false" ht="15" hidden="false" customHeight="true" outlineLevel="0" collapsed="false">
      <c r="B31" s="108" t="s">
        <v>627</v>
      </c>
      <c r="C31" s="108" t="s">
        <v>628</v>
      </c>
      <c r="D31" s="108"/>
      <c r="E31" s="108"/>
    </row>
    <row r="32" customFormat="false" ht="15" hidden="false" customHeight="true" outlineLevel="0" collapsed="false">
      <c r="B32" s="108" t="s">
        <v>629</v>
      </c>
      <c r="C32" s="108" t="s">
        <v>630</v>
      </c>
      <c r="D32" s="108"/>
      <c r="E32" s="108"/>
    </row>
    <row r="33" customFormat="false" ht="26.25" hidden="false" customHeight="true" outlineLevel="0" collapsed="false">
      <c r="B33" s="108" t="s">
        <v>631</v>
      </c>
      <c r="C33" s="108" t="s">
        <v>632</v>
      </c>
      <c r="D33" s="108"/>
      <c r="E33" s="108"/>
    </row>
    <row r="34" customFormat="false" ht="26.25" hidden="false" customHeight="true" outlineLevel="0" collapsed="false">
      <c r="B34" s="108" t="s">
        <v>633</v>
      </c>
      <c r="C34" s="108" t="s">
        <v>634</v>
      </c>
      <c r="D34" s="108"/>
      <c r="E34" s="108"/>
    </row>
    <row r="35" customFormat="false" ht="26.25" hidden="false" customHeight="true" outlineLevel="0" collapsed="false">
      <c r="B35" s="108" t="s">
        <v>635</v>
      </c>
      <c r="C35" s="108" t="s">
        <v>636</v>
      </c>
      <c r="D35" s="108"/>
      <c r="E35" s="108"/>
    </row>
    <row r="37" customFormat="false" ht="15" hidden="false" customHeight="true" outlineLevel="0" collapsed="false">
      <c r="B37" s="113" t="s">
        <v>637</v>
      </c>
      <c r="C37" s="113"/>
      <c r="D37" s="113"/>
      <c r="E37" s="113"/>
    </row>
    <row r="38" customFormat="false" ht="26.25" hidden="false" customHeight="true" outlineLevel="0" collapsed="false">
      <c r="B38" s="138" t="s">
        <v>638</v>
      </c>
      <c r="C38" s="138" t="s">
        <v>639</v>
      </c>
      <c r="D38" s="138" t="s">
        <v>640</v>
      </c>
      <c r="E38" s="138" t="s">
        <v>641</v>
      </c>
    </row>
    <row r="39" customFormat="false" ht="15" hidden="false" customHeight="true" outlineLevel="0" collapsed="false">
      <c r="B39" s="108" t="s">
        <v>642</v>
      </c>
      <c r="C39" s="108" t="s">
        <v>643</v>
      </c>
      <c r="D39" s="108" t="s">
        <v>644</v>
      </c>
      <c r="E39" s="108" t="s">
        <v>645</v>
      </c>
    </row>
    <row r="40" customFormat="false" ht="15" hidden="false" customHeight="true" outlineLevel="0" collapsed="false">
      <c r="B40" s="108" t="s">
        <v>646</v>
      </c>
      <c r="C40" s="108" t="s">
        <v>647</v>
      </c>
      <c r="D40" s="108" t="s">
        <v>648</v>
      </c>
      <c r="E40" s="108" t="s">
        <v>649</v>
      </c>
    </row>
    <row r="41" customFormat="false" ht="26.25" hidden="false" customHeight="true" outlineLevel="0" collapsed="false">
      <c r="B41" s="108" t="s">
        <v>650</v>
      </c>
      <c r="C41" s="108" t="s">
        <v>651</v>
      </c>
      <c r="D41" s="108" t="s">
        <v>652</v>
      </c>
      <c r="E41" s="108" t="s">
        <v>653</v>
      </c>
    </row>
  </sheetData>
  <mergeCells count="14">
    <mergeCell ref="B2:E2"/>
    <mergeCell ref="B5:E5"/>
    <mergeCell ref="B13:E13"/>
    <mergeCell ref="B17:E17"/>
    <mergeCell ref="B27:E27"/>
    <mergeCell ref="C28:E28"/>
    <mergeCell ref="C29:E29"/>
    <mergeCell ref="C30:E30"/>
    <mergeCell ref="C31:E31"/>
    <mergeCell ref="C32:E32"/>
    <mergeCell ref="C33:E33"/>
    <mergeCell ref="C34:E34"/>
    <mergeCell ref="C35:E35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4"/>
    <col collapsed="false" customWidth="true" hidden="false" outlineLevel="0" max="6" min="6" style="1" width="4"/>
    <col collapsed="false" customWidth="true" hidden="false" outlineLevel="0" max="7" min="7" style="1" width="50"/>
  </cols>
  <sheetData>
    <row r="2" customFormat="false" ht="25.5" hidden="false" customHeight="true" outlineLevel="0" collapsed="false">
      <c r="B2" s="135" t="s">
        <v>654</v>
      </c>
      <c r="C2" s="135"/>
      <c r="D2" s="135"/>
      <c r="E2" s="135"/>
    </row>
    <row r="3" customFormat="false" ht="32.25" hidden="false" customHeight="true" outlineLevel="0" collapsed="false">
      <c r="B3" s="136" t="s">
        <v>655</v>
      </c>
    </row>
    <row r="5" customFormat="false" ht="15" hidden="false" customHeight="true" outlineLevel="0" collapsed="false">
      <c r="B5" s="137" t="s">
        <v>656</v>
      </c>
      <c r="C5" s="137"/>
      <c r="D5" s="137"/>
      <c r="E5" s="137"/>
    </row>
    <row r="6" customFormat="false" ht="15" hidden="false" customHeight="true" outlineLevel="0" collapsed="false">
      <c r="B6" s="97" t="s">
        <v>47</v>
      </c>
      <c r="C6" s="107" t="s">
        <v>657</v>
      </c>
      <c r="D6" s="107" t="s">
        <v>592</v>
      </c>
      <c r="E6" s="107" t="s">
        <v>658</v>
      </c>
    </row>
    <row r="7" customFormat="false" ht="21.75" hidden="false" customHeight="true" outlineLevel="0" collapsed="false">
      <c r="B7" s="108" t="s">
        <v>659</v>
      </c>
      <c r="C7" s="200" t="n">
        <v>120</v>
      </c>
      <c r="D7" s="200" t="n">
        <v>200</v>
      </c>
      <c r="E7" s="200" t="n">
        <v>350</v>
      </c>
      <c r="G7" s="136" t="s">
        <v>660</v>
      </c>
    </row>
    <row r="8" customFormat="false" ht="21.75" hidden="false" customHeight="true" outlineLevel="0" collapsed="false">
      <c r="B8" s="108" t="s">
        <v>661</v>
      </c>
      <c r="C8" s="215" t="n">
        <v>3</v>
      </c>
      <c r="D8" s="215" t="n">
        <v>6</v>
      </c>
      <c r="E8" s="215" t="n">
        <v>12</v>
      </c>
      <c r="G8" s="136" t="s">
        <v>662</v>
      </c>
    </row>
    <row r="9" customFormat="false" ht="15" hidden="false" customHeight="true" outlineLevel="0" collapsed="false">
      <c r="B9" s="97" t="s">
        <v>663</v>
      </c>
      <c r="C9" s="216" t="n">
        <f aca="false">C7*C8</f>
        <v>360</v>
      </c>
      <c r="D9" s="216" t="n">
        <f aca="false">D7*D8</f>
        <v>1200</v>
      </c>
      <c r="E9" s="216" t="n">
        <f aca="false">E7*E8</f>
        <v>4200</v>
      </c>
      <c r="G9" s="136" t="s">
        <v>664</v>
      </c>
    </row>
    <row r="10" customFormat="false" ht="21.75" hidden="false" customHeight="true" outlineLevel="0" collapsed="false">
      <c r="B10" s="108" t="s">
        <v>665</v>
      </c>
      <c r="C10" s="217" t="n">
        <v>0.06</v>
      </c>
      <c r="D10" s="217" t="n">
        <v>0.08</v>
      </c>
      <c r="E10" s="217" t="n">
        <v>0.1</v>
      </c>
      <c r="G10" s="136" t="s">
        <v>666</v>
      </c>
    </row>
    <row r="11" customFormat="false" ht="15" hidden="false" customHeight="true" outlineLevel="0" collapsed="false">
      <c r="B11" s="108" t="s">
        <v>667</v>
      </c>
      <c r="C11" s="217" t="n">
        <v>0.03</v>
      </c>
      <c r="D11" s="217" t="n">
        <v>0.04</v>
      </c>
      <c r="E11" s="217" t="n">
        <v>0.05</v>
      </c>
      <c r="G11" s="136" t="s">
        <v>668</v>
      </c>
    </row>
    <row r="12" customFormat="false" ht="15" hidden="false" customHeight="true" outlineLevel="0" collapsed="false">
      <c r="B12" s="97" t="s">
        <v>120</v>
      </c>
      <c r="C12" s="218" t="n">
        <f aca="false">C10+C11</f>
        <v>0.09</v>
      </c>
      <c r="D12" s="218" t="n">
        <f aca="false">D10+D11</f>
        <v>0.12</v>
      </c>
      <c r="E12" s="218" t="n">
        <f aca="false">E10+E11</f>
        <v>0.15</v>
      </c>
      <c r="G12" s="136" t="s">
        <v>669</v>
      </c>
    </row>
    <row r="14" customFormat="false" ht="15" hidden="false" customHeight="true" outlineLevel="0" collapsed="false">
      <c r="B14" s="137" t="s">
        <v>670</v>
      </c>
      <c r="C14" s="137"/>
      <c r="D14" s="137"/>
      <c r="E14" s="137"/>
    </row>
    <row r="15" customFormat="false" ht="15" hidden="false" customHeight="true" outlineLevel="0" collapsed="false">
      <c r="B15" s="97" t="s">
        <v>47</v>
      </c>
      <c r="C15" s="107" t="s">
        <v>657</v>
      </c>
      <c r="D15" s="107" t="s">
        <v>592</v>
      </c>
      <c r="E15" s="107" t="s">
        <v>658</v>
      </c>
    </row>
    <row r="16" customFormat="false" ht="15" hidden="false" customHeight="true" outlineLevel="0" collapsed="false">
      <c r="B16" s="108" t="s">
        <v>671</v>
      </c>
      <c r="C16" s="200" t="n">
        <v>19</v>
      </c>
      <c r="D16" s="200" t="n">
        <v>29</v>
      </c>
      <c r="E16" s="200" t="n">
        <v>49</v>
      </c>
      <c r="G16" s="136" t="s">
        <v>672</v>
      </c>
    </row>
    <row r="17" customFormat="false" ht="15" hidden="false" customHeight="true" outlineLevel="0" collapsed="false">
      <c r="B17" s="108" t="s">
        <v>673</v>
      </c>
      <c r="C17" s="217" t="n">
        <v>0.05</v>
      </c>
      <c r="D17" s="217" t="n">
        <v>0.15</v>
      </c>
      <c r="E17" s="217" t="n">
        <v>0.3</v>
      </c>
      <c r="G17" s="136" t="s">
        <v>674</v>
      </c>
    </row>
    <row r="18" customFormat="false" ht="15" hidden="false" customHeight="true" outlineLevel="0" collapsed="false">
      <c r="B18" s="97" t="s">
        <v>675</v>
      </c>
      <c r="C18" s="219" t="n">
        <f aca="false">C16*12*C17</f>
        <v>11.4</v>
      </c>
      <c r="D18" s="219" t="n">
        <f aca="false">D16*12*D17</f>
        <v>52.2</v>
      </c>
      <c r="E18" s="219" t="n">
        <f aca="false">E16*12*E17</f>
        <v>176.4</v>
      </c>
    </row>
    <row r="20" customFormat="false" ht="15" hidden="false" customHeight="true" outlineLevel="0" collapsed="false">
      <c r="B20" s="137" t="s">
        <v>676</v>
      </c>
      <c r="C20" s="137"/>
      <c r="D20" s="137"/>
      <c r="E20" s="137"/>
    </row>
    <row r="21" customFormat="false" ht="15" hidden="false" customHeight="true" outlineLevel="0" collapsed="false">
      <c r="B21" s="97" t="s">
        <v>47</v>
      </c>
      <c r="C21" s="107" t="s">
        <v>657</v>
      </c>
      <c r="D21" s="107" t="s">
        <v>592</v>
      </c>
      <c r="E21" s="107" t="s">
        <v>658</v>
      </c>
    </row>
    <row r="22" customFormat="false" ht="21.75" hidden="false" customHeight="true" outlineLevel="0" collapsed="false">
      <c r="B22" s="108" t="s">
        <v>677</v>
      </c>
      <c r="C22" s="217" t="n">
        <v>0.5</v>
      </c>
      <c r="D22" s="217" t="n">
        <v>0.55</v>
      </c>
      <c r="E22" s="217" t="n">
        <v>0.6</v>
      </c>
      <c r="G22" s="136" t="s">
        <v>678</v>
      </c>
    </row>
    <row r="23" customFormat="false" ht="15" hidden="false" customHeight="true" outlineLevel="0" collapsed="false">
      <c r="B23" s="108" t="s">
        <v>679</v>
      </c>
      <c r="C23" s="220" t="n">
        <f aca="false">1-C22</f>
        <v>0.5</v>
      </c>
      <c r="D23" s="220" t="n">
        <f aca="false">1-D22</f>
        <v>0.45</v>
      </c>
      <c r="E23" s="220" t="n">
        <f aca="false">1-E22</f>
        <v>0.4</v>
      </c>
    </row>
    <row r="25" customFormat="false" ht="15" hidden="false" customHeight="true" outlineLevel="0" collapsed="false">
      <c r="B25" s="137" t="s">
        <v>680</v>
      </c>
      <c r="C25" s="137"/>
      <c r="D25" s="137"/>
      <c r="E25" s="137"/>
    </row>
    <row r="26" customFormat="false" ht="15" hidden="false" customHeight="true" outlineLevel="0" collapsed="false">
      <c r="B26" s="97" t="s">
        <v>47</v>
      </c>
      <c r="C26" s="107" t="s">
        <v>657</v>
      </c>
      <c r="D26" s="107" t="s">
        <v>592</v>
      </c>
      <c r="E26" s="107" t="s">
        <v>658</v>
      </c>
    </row>
    <row r="27" customFormat="false" ht="21.75" hidden="false" customHeight="true" outlineLevel="0" collapsed="false">
      <c r="B27" s="108" t="s">
        <v>128</v>
      </c>
      <c r="C27" s="217" t="n">
        <v>0.6</v>
      </c>
      <c r="D27" s="217" t="n">
        <v>0.4</v>
      </c>
      <c r="E27" s="217" t="n">
        <v>0.25</v>
      </c>
      <c r="G27" s="136" t="s">
        <v>681</v>
      </c>
    </row>
    <row r="28" customFormat="false" ht="15" hidden="false" customHeight="true" outlineLevel="0" collapsed="false">
      <c r="B28" s="108" t="s">
        <v>682</v>
      </c>
      <c r="C28" s="217" t="n">
        <v>0.85</v>
      </c>
      <c r="D28" s="217" t="n">
        <v>1.05</v>
      </c>
      <c r="E28" s="217" t="n">
        <v>1.2</v>
      </c>
      <c r="G28" s="136" t="s">
        <v>683</v>
      </c>
    </row>
    <row r="30" customFormat="false" ht="15" hidden="false" customHeight="true" outlineLevel="0" collapsed="false">
      <c r="B30" s="137" t="s">
        <v>684</v>
      </c>
      <c r="C30" s="137"/>
      <c r="D30" s="137"/>
      <c r="E30" s="137"/>
    </row>
    <row r="31" customFormat="false" ht="15" hidden="false" customHeight="true" outlineLevel="0" collapsed="false">
      <c r="B31" s="97" t="s">
        <v>47</v>
      </c>
      <c r="C31" s="107" t="s">
        <v>657</v>
      </c>
      <c r="D31" s="107" t="s">
        <v>592</v>
      </c>
      <c r="E31" s="107" t="s">
        <v>658</v>
      </c>
    </row>
    <row r="32" customFormat="false" ht="15" hidden="false" customHeight="true" outlineLevel="0" collapsed="false">
      <c r="B32" s="108" t="s">
        <v>685</v>
      </c>
      <c r="C32" s="217" t="n">
        <v>0.025</v>
      </c>
      <c r="D32" s="217" t="n">
        <v>0.02</v>
      </c>
      <c r="E32" s="217" t="n">
        <v>0.015</v>
      </c>
      <c r="G32" s="136" t="s">
        <v>686</v>
      </c>
    </row>
    <row r="33" customFormat="false" ht="21.75" hidden="false" customHeight="true" outlineLevel="0" collapsed="false">
      <c r="B33" s="108" t="s">
        <v>687</v>
      </c>
      <c r="C33" s="221" t="n">
        <v>8</v>
      </c>
      <c r="D33" s="221" t="n">
        <v>5</v>
      </c>
      <c r="E33" s="221" t="n">
        <v>3</v>
      </c>
      <c r="G33" s="136" t="s">
        <v>688</v>
      </c>
    </row>
    <row r="34" customFormat="false" ht="15" hidden="false" customHeight="true" outlineLevel="0" collapsed="false">
      <c r="B34" s="108" t="s">
        <v>689</v>
      </c>
      <c r="C34" s="221" t="n">
        <v>4</v>
      </c>
      <c r="D34" s="221" t="n">
        <v>2</v>
      </c>
      <c r="E34" s="221" t="n">
        <v>1</v>
      </c>
      <c r="G34" s="136" t="s">
        <v>690</v>
      </c>
    </row>
    <row r="35" customFormat="false" ht="21.75" hidden="false" customHeight="true" outlineLevel="0" collapsed="false">
      <c r="B35" s="108" t="s">
        <v>691</v>
      </c>
      <c r="C35" s="221" t="n">
        <v>18</v>
      </c>
      <c r="D35" s="221" t="n">
        <v>10</v>
      </c>
      <c r="E35" s="221" t="n">
        <v>5</v>
      </c>
      <c r="G35" s="136" t="s">
        <v>692</v>
      </c>
    </row>
    <row r="36" customFormat="false" ht="15" hidden="false" customHeight="true" outlineLevel="0" collapsed="false">
      <c r="B36" s="108" t="s">
        <v>693</v>
      </c>
      <c r="C36" s="221" t="n">
        <v>2</v>
      </c>
      <c r="D36" s="221" t="n">
        <v>1</v>
      </c>
      <c r="E36" s="221" t="n">
        <v>0.5</v>
      </c>
      <c r="G36" s="136" t="s">
        <v>694</v>
      </c>
    </row>
    <row r="38" customFormat="false" ht="15" hidden="false" customHeight="true" outlineLevel="0" collapsed="false">
      <c r="B38" s="137" t="s">
        <v>695</v>
      </c>
      <c r="C38" s="137"/>
      <c r="D38" s="137"/>
      <c r="E38" s="137"/>
    </row>
    <row r="39" customFormat="false" ht="15" hidden="false" customHeight="true" outlineLevel="0" collapsed="false">
      <c r="B39" s="97" t="s">
        <v>696</v>
      </c>
      <c r="C39" s="107" t="s">
        <v>455</v>
      </c>
      <c r="D39" s="107" t="s">
        <v>697</v>
      </c>
      <c r="E39" s="107" t="s">
        <v>50</v>
      </c>
    </row>
    <row r="40" customFormat="false" ht="21.75" hidden="false" customHeight="true" outlineLevel="0" collapsed="false">
      <c r="B40" s="108" t="s">
        <v>698</v>
      </c>
      <c r="C40" s="200" t="n">
        <v>15</v>
      </c>
      <c r="D40" s="217" t="n">
        <v>0.2</v>
      </c>
      <c r="E40" s="222" t="s">
        <v>699</v>
      </c>
    </row>
    <row r="41" customFormat="false" ht="21.75" hidden="false" customHeight="true" outlineLevel="0" collapsed="false">
      <c r="B41" s="108" t="s">
        <v>700</v>
      </c>
      <c r="C41" s="200" t="n">
        <v>80</v>
      </c>
      <c r="D41" s="217" t="n">
        <v>0.25</v>
      </c>
      <c r="E41" s="222" t="s">
        <v>701</v>
      </c>
    </row>
    <row r="42" customFormat="false" ht="21.75" hidden="false" customHeight="true" outlineLevel="0" collapsed="false">
      <c r="B42" s="108" t="s">
        <v>702</v>
      </c>
      <c r="C42" s="200" t="n">
        <v>45</v>
      </c>
      <c r="D42" s="217" t="n">
        <v>0.15</v>
      </c>
      <c r="E42" s="222" t="s">
        <v>703</v>
      </c>
    </row>
    <row r="43" customFormat="false" ht="21.75" hidden="false" customHeight="true" outlineLevel="0" collapsed="false">
      <c r="B43" s="108" t="s">
        <v>704</v>
      </c>
      <c r="C43" s="200" t="n">
        <v>60</v>
      </c>
      <c r="D43" s="217" t="n">
        <v>0.2</v>
      </c>
      <c r="E43" s="222" t="s">
        <v>705</v>
      </c>
    </row>
    <row r="44" customFormat="false" ht="21.75" hidden="false" customHeight="true" outlineLevel="0" collapsed="false">
      <c r="B44" s="108" t="s">
        <v>706</v>
      </c>
      <c r="C44" s="200" t="n">
        <v>220</v>
      </c>
      <c r="D44" s="217" t="n">
        <v>0.2</v>
      </c>
      <c r="E44" s="222" t="s">
        <v>707</v>
      </c>
    </row>
    <row r="45" customFormat="false" ht="63.75" hidden="false" customHeight="true" outlineLevel="0" collapsed="false">
      <c r="B45" s="97" t="s">
        <v>708</v>
      </c>
      <c r="D45" s="218" t="n">
        <f aca="false">SUM(D40:D44)</f>
        <v>1</v>
      </c>
      <c r="F45" s="136" t="s">
        <v>709</v>
      </c>
    </row>
    <row r="46" customFormat="false" ht="15" hidden="false" customHeight="true" outlineLevel="0" collapsed="false">
      <c r="B46" s="138" t="s">
        <v>710</v>
      </c>
      <c r="C46" s="223" t="n">
        <f aca="false">SUMPRODUCT(C40:C44,D40:D44)</f>
        <v>85.75</v>
      </c>
    </row>
    <row r="48" customFormat="false" ht="15" hidden="false" customHeight="true" outlineLevel="0" collapsed="false">
      <c r="B48" s="137" t="s">
        <v>711</v>
      </c>
      <c r="C48" s="137"/>
      <c r="D48" s="137"/>
      <c r="E48" s="137"/>
    </row>
    <row r="49" customFormat="false" ht="15" hidden="false" customHeight="true" outlineLevel="0" collapsed="false">
      <c r="B49" s="97" t="s">
        <v>47</v>
      </c>
      <c r="C49" s="107" t="s">
        <v>657</v>
      </c>
      <c r="D49" s="107" t="s">
        <v>592</v>
      </c>
      <c r="E49" s="107" t="s">
        <v>658</v>
      </c>
    </row>
    <row r="50" customFormat="false" ht="15" hidden="false" customHeight="true" outlineLevel="0" collapsed="false">
      <c r="B50" s="108" t="s">
        <v>712</v>
      </c>
      <c r="C50" s="200" t="n">
        <v>4000</v>
      </c>
      <c r="D50" s="200" t="n">
        <v>3000</v>
      </c>
      <c r="E50" s="200" t="n">
        <v>2000</v>
      </c>
      <c r="G50" s="136" t="s">
        <v>713</v>
      </c>
    </row>
    <row r="51" customFormat="false" ht="15" hidden="false" customHeight="true" outlineLevel="0" collapsed="false">
      <c r="B51" s="108" t="s">
        <v>714</v>
      </c>
      <c r="C51" s="200" t="n">
        <v>250</v>
      </c>
      <c r="D51" s="200" t="n">
        <v>150</v>
      </c>
      <c r="E51" s="200" t="n">
        <v>100</v>
      </c>
      <c r="G51" s="136" t="s">
        <v>715</v>
      </c>
    </row>
    <row r="52" customFormat="false" ht="15" hidden="false" customHeight="true" outlineLevel="0" collapsed="false">
      <c r="B52" s="108" t="s">
        <v>716</v>
      </c>
      <c r="C52" s="200" t="n">
        <v>500</v>
      </c>
      <c r="D52" s="200" t="n">
        <v>200</v>
      </c>
      <c r="E52" s="200" t="n">
        <v>100</v>
      </c>
      <c r="G52" s="136" t="s">
        <v>717</v>
      </c>
    </row>
    <row r="53" customFormat="false" ht="15" hidden="false" customHeight="true" outlineLevel="0" collapsed="false">
      <c r="B53" s="97" t="s">
        <v>718</v>
      </c>
      <c r="C53" s="216" t="n">
        <f aca="false">SUM(C50:C52)</f>
        <v>4750</v>
      </c>
      <c r="D53" s="216" t="n">
        <f aca="false">SUM(D50:D52)</f>
        <v>3350</v>
      </c>
      <c r="E53" s="216" t="n">
        <f aca="false">SUM(E50:E52)</f>
        <v>2200</v>
      </c>
    </row>
    <row r="54" customFormat="false" ht="15" hidden="false" customHeight="true" outlineLevel="0" collapsed="false">
      <c r="B54" s="97" t="s">
        <v>719</v>
      </c>
      <c r="C54" s="216" t="n">
        <f aca="false">C53*12</f>
        <v>57000</v>
      </c>
      <c r="D54" s="216" t="n">
        <f aca="false">D53*12</f>
        <v>40200</v>
      </c>
      <c r="E54" s="216" t="n">
        <f aca="false">E53*12</f>
        <v>26400</v>
      </c>
    </row>
  </sheetData>
  <mergeCells count="8">
    <mergeCell ref="B2:E2"/>
    <mergeCell ref="B5:E5"/>
    <mergeCell ref="B14:E14"/>
    <mergeCell ref="B20:E20"/>
    <mergeCell ref="B25:E25"/>
    <mergeCell ref="B30:E30"/>
    <mergeCell ref="B38:E38"/>
    <mergeCell ref="B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5" min="3" style="1" width="16"/>
    <col collapsed="false" customWidth="true" hidden="false" outlineLevel="0" max="6" min="6" style="1" width="4"/>
    <col collapsed="false" customWidth="true" hidden="false" outlineLevel="0" max="7" min="7" style="1" width="50"/>
  </cols>
  <sheetData>
    <row r="2" customFormat="false" ht="25.5" hidden="false" customHeight="true" outlineLevel="0" collapsed="false">
      <c r="B2" s="135" t="s">
        <v>720</v>
      </c>
      <c r="C2" s="135"/>
      <c r="D2" s="135"/>
      <c r="E2" s="135"/>
    </row>
    <row r="3" customFormat="false" ht="21.75" hidden="false" customHeight="true" outlineLevel="0" collapsed="false">
      <c r="B3" s="136" t="s">
        <v>721</v>
      </c>
    </row>
    <row r="5" customFormat="false" ht="15" hidden="false" customHeight="true" outlineLevel="0" collapsed="false">
      <c r="B5" s="137" t="s">
        <v>722</v>
      </c>
      <c r="C5" s="137"/>
      <c r="D5" s="137"/>
      <c r="E5" s="137"/>
    </row>
    <row r="6" customFormat="false" ht="15" hidden="false" customHeight="true" outlineLevel="0" collapsed="false">
      <c r="B6" s="97" t="s">
        <v>47</v>
      </c>
      <c r="C6" s="107" t="s">
        <v>657</v>
      </c>
      <c r="D6" s="107" t="s">
        <v>592</v>
      </c>
      <c r="E6" s="107" t="s">
        <v>658</v>
      </c>
    </row>
    <row r="7" customFormat="false" ht="15" hidden="false" customHeight="true" outlineLevel="0" collapsed="false">
      <c r="B7" s="108" t="s">
        <v>723</v>
      </c>
      <c r="C7" s="224" t="n">
        <f aca="false">Assumptions!C9</f>
        <v>360</v>
      </c>
      <c r="D7" s="224" t="n">
        <f aca="false">Assumptions!D9</f>
        <v>1200</v>
      </c>
      <c r="E7" s="224" t="n">
        <f aca="false">Assumptions!E9</f>
        <v>4200</v>
      </c>
    </row>
    <row r="8" customFormat="false" ht="15" hidden="false" customHeight="true" outlineLevel="0" collapsed="false">
      <c r="B8" s="108" t="s">
        <v>407</v>
      </c>
      <c r="C8" s="225" t="n">
        <f aca="false">Assumptions!C12</f>
        <v>0.09</v>
      </c>
      <c r="D8" s="225" t="n">
        <f aca="false">Assumptions!D12</f>
        <v>0.12</v>
      </c>
      <c r="E8" s="225" t="n">
        <f aca="false">Assumptions!E12</f>
        <v>0.15</v>
      </c>
    </row>
    <row r="9" customFormat="false" ht="15" hidden="false" customHeight="true" outlineLevel="0" collapsed="false">
      <c r="B9" s="108" t="s">
        <v>724</v>
      </c>
      <c r="C9" s="226" t="n">
        <f aca="false">C7*C8</f>
        <v>32.4</v>
      </c>
      <c r="D9" s="226" t="n">
        <f aca="false">D7*D8</f>
        <v>144</v>
      </c>
      <c r="E9" s="226" t="n">
        <f aca="false">E7*E8</f>
        <v>630</v>
      </c>
    </row>
    <row r="10" customFormat="false" ht="15" hidden="false" customHeight="true" outlineLevel="0" collapsed="false">
      <c r="B10" s="108" t="s">
        <v>725</v>
      </c>
      <c r="C10" s="227" t="n">
        <f aca="false">Assumptions!C18</f>
        <v>11.4</v>
      </c>
      <c r="D10" s="227" t="n">
        <f aca="false">Assumptions!D18</f>
        <v>52.2</v>
      </c>
      <c r="E10" s="227" t="n">
        <f aca="false">Assumptions!E18</f>
        <v>176.4</v>
      </c>
    </row>
    <row r="11" customFormat="false" ht="15" hidden="false" customHeight="true" outlineLevel="0" collapsed="false">
      <c r="B11" s="97" t="s">
        <v>726</v>
      </c>
      <c r="C11" s="228" t="n">
        <f aca="false">C9+C10</f>
        <v>43.8</v>
      </c>
      <c r="D11" s="228" t="n">
        <f aca="false">D9+D10</f>
        <v>196.2</v>
      </c>
      <c r="E11" s="228" t="n">
        <f aca="false">E9+E10</f>
        <v>806.4</v>
      </c>
      <c r="G11" s="136" t="s">
        <v>727</v>
      </c>
    </row>
    <row r="13" customFormat="false" ht="15" hidden="false" customHeight="true" outlineLevel="0" collapsed="false">
      <c r="B13" s="137" t="s">
        <v>728</v>
      </c>
      <c r="C13" s="137"/>
      <c r="D13" s="137"/>
      <c r="E13" s="137"/>
    </row>
    <row r="14" customFormat="false" ht="15" hidden="false" customHeight="true" outlineLevel="0" collapsed="false">
      <c r="B14" s="97" t="s">
        <v>283</v>
      </c>
      <c r="C14" s="107" t="s">
        <v>657</v>
      </c>
      <c r="D14" s="107" t="s">
        <v>592</v>
      </c>
      <c r="E14" s="107" t="s">
        <v>658</v>
      </c>
    </row>
    <row r="15" customFormat="false" ht="15" hidden="false" customHeight="true" outlineLevel="0" collapsed="false">
      <c r="B15" s="108" t="s">
        <v>729</v>
      </c>
      <c r="C15" s="226" t="n">
        <f aca="false">C7*Assumptions!C32</f>
        <v>9</v>
      </c>
      <c r="D15" s="226" t="n">
        <f aca="false">D7*Assumptions!D32</f>
        <v>24</v>
      </c>
      <c r="E15" s="226" t="n">
        <f aca="false">E7*Assumptions!E32</f>
        <v>63</v>
      </c>
      <c r="G15" s="136" t="s">
        <v>730</v>
      </c>
    </row>
    <row r="16" customFormat="false" ht="15" hidden="false" customHeight="true" outlineLevel="0" collapsed="false">
      <c r="B16" s="108" t="s">
        <v>731</v>
      </c>
      <c r="C16" s="227" t="n">
        <f aca="false">Assumptions!C33</f>
        <v>8</v>
      </c>
      <c r="D16" s="227" t="n">
        <f aca="false">Assumptions!D33</f>
        <v>5</v>
      </c>
      <c r="E16" s="227" t="n">
        <f aca="false">Assumptions!E33</f>
        <v>3</v>
      </c>
    </row>
    <row r="17" customFormat="false" ht="15" hidden="false" customHeight="true" outlineLevel="0" collapsed="false">
      <c r="B17" s="108" t="s">
        <v>732</v>
      </c>
      <c r="C17" s="227" t="n">
        <f aca="false">Assumptions!C34</f>
        <v>4</v>
      </c>
      <c r="D17" s="227" t="n">
        <f aca="false">Assumptions!D34</f>
        <v>2</v>
      </c>
      <c r="E17" s="227" t="n">
        <f aca="false">Assumptions!E34</f>
        <v>1</v>
      </c>
    </row>
    <row r="18" customFormat="false" ht="15" hidden="false" customHeight="true" outlineLevel="0" collapsed="false">
      <c r="B18" s="108" t="s">
        <v>733</v>
      </c>
      <c r="C18" s="227" t="n">
        <f aca="false">Assumptions!C35</f>
        <v>18</v>
      </c>
      <c r="D18" s="227" t="n">
        <f aca="false">Assumptions!D35</f>
        <v>10</v>
      </c>
      <c r="E18" s="227" t="n">
        <f aca="false">Assumptions!E35</f>
        <v>5</v>
      </c>
    </row>
    <row r="19" customFormat="false" ht="15" hidden="false" customHeight="true" outlineLevel="0" collapsed="false">
      <c r="B19" s="108" t="s">
        <v>734</v>
      </c>
      <c r="C19" s="227" t="n">
        <f aca="false">Assumptions!C36</f>
        <v>2</v>
      </c>
      <c r="D19" s="227" t="n">
        <f aca="false">Assumptions!D36</f>
        <v>1</v>
      </c>
      <c r="E19" s="227" t="n">
        <f aca="false">Assumptions!E36</f>
        <v>0.5</v>
      </c>
    </row>
    <row r="20" customFormat="false" ht="15" hidden="false" customHeight="true" outlineLevel="0" collapsed="false">
      <c r="B20" s="97" t="s">
        <v>735</v>
      </c>
      <c r="C20" s="228" t="n">
        <f aca="false">SUM(C15:C19)</f>
        <v>41</v>
      </c>
      <c r="D20" s="228" t="n">
        <f aca="false">SUM(D15:D19)</f>
        <v>42</v>
      </c>
      <c r="E20" s="228" t="n">
        <f aca="false">SUM(E15:E19)</f>
        <v>72.5</v>
      </c>
    </row>
    <row r="22" customFormat="false" ht="15" hidden="false" customHeight="true" outlineLevel="0" collapsed="false">
      <c r="B22" s="137" t="s">
        <v>736</v>
      </c>
      <c r="C22" s="137"/>
      <c r="D22" s="137"/>
      <c r="E22" s="137"/>
    </row>
    <row r="23" customFormat="false" ht="15" hidden="false" customHeight="true" outlineLevel="0" collapsed="false">
      <c r="B23" s="97" t="s">
        <v>126</v>
      </c>
      <c r="C23" s="219" t="n">
        <f aca="false">C11-C20</f>
        <v>2.8</v>
      </c>
      <c r="D23" s="219" t="n">
        <f aca="false">D11-D20</f>
        <v>154.2</v>
      </c>
      <c r="E23" s="219" t="n">
        <f aca="false">E11-E20</f>
        <v>733.9</v>
      </c>
      <c r="G23" s="136" t="s">
        <v>737</v>
      </c>
    </row>
    <row r="24" customFormat="false" ht="15" hidden="false" customHeight="true" outlineLevel="0" collapsed="false">
      <c r="B24" s="97" t="s">
        <v>738</v>
      </c>
      <c r="C24" s="229" t="n">
        <f aca="false">IFERROR(C23/C11,0)</f>
        <v>0.0639269406392694</v>
      </c>
      <c r="D24" s="229" t="n">
        <f aca="false">IFERROR(D23/D11,0)</f>
        <v>0.785932721712538</v>
      </c>
      <c r="E24" s="229" t="n">
        <f aca="false">IFERROR(E23/E11,0)</f>
        <v>0.910094246031746</v>
      </c>
    </row>
    <row r="26" customFormat="false" ht="15" hidden="false" customHeight="true" outlineLevel="0" collapsed="false">
      <c r="B26" s="137" t="s">
        <v>739</v>
      </c>
      <c r="C26" s="137"/>
      <c r="D26" s="137"/>
      <c r="E26" s="137"/>
    </row>
    <row r="27" customFormat="false" ht="26.25" hidden="false" customHeight="true" outlineLevel="0" collapsed="false">
      <c r="B27" s="108" t="s">
        <v>740</v>
      </c>
      <c r="C27" s="220" t="n">
        <f aca="false">IFERROR((C11-C16-C17-C19)/C11,0)</f>
        <v>0.680365296803653</v>
      </c>
      <c r="D27" s="220" t="n">
        <f aca="false">IFERROR((D11-D16-D17-D19)/D11,0)</f>
        <v>0.959225280326198</v>
      </c>
      <c r="E27" s="220" t="n">
        <f aca="false">IFERROR((E11-E16-E17-E19)/E11,0)</f>
        <v>0.994419642857143</v>
      </c>
      <c r="G27" s="136" t="s">
        <v>741</v>
      </c>
    </row>
    <row r="28" customFormat="false" ht="15" hidden="false" customHeight="true" outlineLevel="0" collapsed="false">
      <c r="B28" s="108" t="s">
        <v>742</v>
      </c>
      <c r="C28" s="220" t="n">
        <f aca="false">C27-C24</f>
        <v>0.616438356164384</v>
      </c>
      <c r="D28" s="220" t="n">
        <f aca="false">D27-D24</f>
        <v>0.17329255861366</v>
      </c>
      <c r="E28" s="220" t="n">
        <f aca="false">E27-E24</f>
        <v>0.0843253968253969</v>
      </c>
    </row>
    <row r="30" customFormat="false" ht="26.25" hidden="false" customHeight="true" outlineLevel="0" collapsed="false">
      <c r="B30" s="230" t="s">
        <v>743</v>
      </c>
      <c r="C30" s="231" t="n">
        <f aca="false">D24</f>
        <v>0.785932721712538</v>
      </c>
    </row>
  </sheetData>
  <mergeCells count="5">
    <mergeCell ref="B2:E2"/>
    <mergeCell ref="B5:E5"/>
    <mergeCell ref="B13:E13"/>
    <mergeCell ref="B22:E22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5" min="3" style="1" width="16"/>
    <col collapsed="false" customWidth="true" hidden="false" outlineLevel="0" max="6" min="6" style="1" width="4"/>
    <col collapsed="false" customWidth="true" hidden="false" outlineLevel="0" max="7" min="7" style="1" width="50"/>
  </cols>
  <sheetData>
    <row r="2" customFormat="false" ht="25.5" hidden="false" customHeight="true" outlineLevel="0" collapsed="false">
      <c r="B2" s="135" t="s">
        <v>744</v>
      </c>
      <c r="C2" s="135"/>
      <c r="D2" s="135"/>
      <c r="E2" s="135"/>
    </row>
    <row r="3" customFormat="false" ht="21.75" hidden="false" customHeight="true" outlineLevel="0" collapsed="false">
      <c r="B3" s="136" t="s">
        <v>745</v>
      </c>
    </row>
    <row r="5" customFormat="false" ht="15" hidden="false" customHeight="true" outlineLevel="0" collapsed="false">
      <c r="B5" s="137" t="s">
        <v>746</v>
      </c>
      <c r="C5" s="137"/>
      <c r="D5" s="137"/>
      <c r="E5" s="137"/>
    </row>
    <row r="6" customFormat="false" ht="15" hidden="false" customHeight="true" outlineLevel="0" collapsed="false">
      <c r="B6" s="97" t="s">
        <v>47</v>
      </c>
      <c r="C6" s="107" t="s">
        <v>657</v>
      </c>
      <c r="D6" s="107" t="s">
        <v>592</v>
      </c>
      <c r="E6" s="107" t="s">
        <v>658</v>
      </c>
    </row>
    <row r="7" customFormat="false" ht="15" hidden="false" customHeight="true" outlineLevel="0" collapsed="false">
      <c r="B7" s="108" t="s">
        <v>747</v>
      </c>
      <c r="C7" s="227" t="n">
        <f aca="false">'Gross Margin'!C11</f>
        <v>43.8</v>
      </c>
      <c r="D7" s="227" t="n">
        <f aca="false">'Gross Margin'!D11</f>
        <v>196.2</v>
      </c>
      <c r="E7" s="227" t="n">
        <f aca="false">'Gross Margin'!E11</f>
        <v>806.4</v>
      </c>
    </row>
    <row r="8" customFormat="false" ht="15" hidden="false" customHeight="true" outlineLevel="0" collapsed="false">
      <c r="B8" s="108" t="s">
        <v>348</v>
      </c>
      <c r="C8" s="225" t="n">
        <f aca="false">'Gross Margin'!C24</f>
        <v>0.0639269406392694</v>
      </c>
      <c r="D8" s="225" t="n">
        <f aca="false">'Gross Margin'!D24</f>
        <v>0.785932721712538</v>
      </c>
      <c r="E8" s="225" t="n">
        <f aca="false">'Gross Margin'!E24</f>
        <v>0.910094246031746</v>
      </c>
    </row>
    <row r="9" customFormat="false" ht="15" hidden="false" customHeight="true" outlineLevel="0" collapsed="false">
      <c r="B9" s="108" t="s">
        <v>126</v>
      </c>
      <c r="C9" s="226" t="n">
        <f aca="false">C7*C8</f>
        <v>2.8</v>
      </c>
      <c r="D9" s="226" t="n">
        <f aca="false">D7*D8</f>
        <v>154.2</v>
      </c>
      <c r="E9" s="226" t="n">
        <f aca="false">E7*E8</f>
        <v>733.9</v>
      </c>
    </row>
    <row r="10" customFormat="false" ht="15" hidden="false" customHeight="true" outlineLevel="0" collapsed="false">
      <c r="B10" s="108" t="s">
        <v>128</v>
      </c>
      <c r="C10" s="225" t="n">
        <f aca="false">Assumptions!C27</f>
        <v>0.6</v>
      </c>
      <c r="D10" s="225" t="n">
        <f aca="false">Assumptions!D27</f>
        <v>0.4</v>
      </c>
      <c r="E10" s="225" t="n">
        <f aca="false">Assumptions!E27</f>
        <v>0.25</v>
      </c>
    </row>
    <row r="11" customFormat="false" ht="15" hidden="false" customHeight="true" outlineLevel="0" collapsed="false">
      <c r="B11" s="108" t="s">
        <v>748</v>
      </c>
      <c r="C11" s="225" t="n">
        <f aca="false">Assumptions!C28</f>
        <v>0.85</v>
      </c>
      <c r="D11" s="225" t="n">
        <f aca="false">Assumptions!D28</f>
        <v>1.05</v>
      </c>
      <c r="E11" s="225" t="n">
        <f aca="false">Assumptions!E28</f>
        <v>1.2</v>
      </c>
    </row>
    <row r="12" customFormat="false" ht="26.25" hidden="false" customHeight="true" outlineLevel="0" collapsed="false">
      <c r="B12" s="97" t="s">
        <v>749</v>
      </c>
      <c r="C12" s="218" t="n">
        <f aca="false">MAX(C10-(C11-1),0.05)</f>
        <v>0.75</v>
      </c>
      <c r="D12" s="218" t="n">
        <f aca="false">MAX(D10-(D11-1),0.05)</f>
        <v>0.35</v>
      </c>
      <c r="E12" s="218" t="n">
        <f aca="false">MAX(E10-(E11-1),0.05)</f>
        <v>0.05</v>
      </c>
      <c r="G12" s="136" t="s">
        <v>750</v>
      </c>
    </row>
    <row r="14" customFormat="false" ht="15" hidden="false" customHeight="true" outlineLevel="0" collapsed="false">
      <c r="B14" s="137" t="s">
        <v>751</v>
      </c>
      <c r="C14" s="137"/>
      <c r="D14" s="137"/>
      <c r="E14" s="137"/>
    </row>
    <row r="15" customFormat="false" ht="21.75" hidden="false" customHeight="true" outlineLevel="0" collapsed="false">
      <c r="B15" s="97" t="s">
        <v>752</v>
      </c>
      <c r="C15" s="216" t="n">
        <f aca="false">C7/C12</f>
        <v>58.4</v>
      </c>
      <c r="D15" s="216" t="n">
        <f aca="false">D7/D12</f>
        <v>560.571428571429</v>
      </c>
      <c r="E15" s="216" t="n">
        <f aca="false">E7/E12</f>
        <v>16128</v>
      </c>
      <c r="G15" s="136" t="s">
        <v>753</v>
      </c>
    </row>
    <row r="16" customFormat="false" ht="15" hidden="false" customHeight="true" outlineLevel="0" collapsed="false">
      <c r="B16" s="97" t="s">
        <v>754</v>
      </c>
      <c r="C16" s="232" t="n">
        <f aca="false">C9/C12</f>
        <v>3.73333333333333</v>
      </c>
      <c r="D16" s="232" t="n">
        <f aca="false">D9/D12</f>
        <v>440.571428571429</v>
      </c>
      <c r="E16" s="232" t="n">
        <f aca="false">E9/E12</f>
        <v>14678</v>
      </c>
      <c r="G16" s="136" t="s">
        <v>755</v>
      </c>
    </row>
    <row r="17" customFormat="false" ht="15" hidden="false" customHeight="true" outlineLevel="0" collapsed="false">
      <c r="B17" s="108" t="s">
        <v>756</v>
      </c>
      <c r="C17" s="233" t="n">
        <f aca="false">1/C12</f>
        <v>1.33333333333333</v>
      </c>
      <c r="D17" s="233" t="n">
        <f aca="false">1/D12</f>
        <v>2.85714285714286</v>
      </c>
      <c r="E17" s="233" t="n">
        <f aca="false">1/E12</f>
        <v>20</v>
      </c>
    </row>
    <row r="19" customFormat="false" ht="15" hidden="false" customHeight="true" outlineLevel="0" collapsed="false">
      <c r="B19" s="137" t="s">
        <v>757</v>
      </c>
      <c r="C19" s="137"/>
      <c r="D19" s="137"/>
      <c r="E19" s="137"/>
    </row>
    <row r="20" customFormat="false" ht="15" hidden="false" customHeight="true" outlineLevel="0" collapsed="false">
      <c r="B20" s="138" t="s">
        <v>758</v>
      </c>
      <c r="C20" s="234" t="n">
        <v>0.85</v>
      </c>
      <c r="D20" s="234" t="n">
        <v>1</v>
      </c>
      <c r="E20" s="234" t="n">
        <v>1.1</v>
      </c>
      <c r="F20" s="234" t="n">
        <v>1.2</v>
      </c>
    </row>
    <row r="21" customFormat="false" ht="15" hidden="false" customHeight="true" outlineLevel="0" collapsed="false">
      <c r="B21" s="234" t="n">
        <v>0.2</v>
      </c>
      <c r="C21" s="235" t="n">
        <f aca="false">$D$7*$D$8/MAX($B21-(C$20-1),0.05)</f>
        <v>440.571428571429</v>
      </c>
      <c r="D21" s="235" t="n">
        <f aca="false">$D$7*$D$8/MAX($B21-(D$20-1),0.05)</f>
        <v>771</v>
      </c>
      <c r="E21" s="235" t="n">
        <f aca="false">$D$7*$D$8/MAX($B21-(E$20-1),0.05)</f>
        <v>1542</v>
      </c>
      <c r="F21" s="235" t="n">
        <f aca="false">$D$7*$D$8/MAX($B21-(F$20-1),0.05)</f>
        <v>3084</v>
      </c>
    </row>
    <row r="22" customFormat="false" ht="15" hidden="false" customHeight="true" outlineLevel="0" collapsed="false">
      <c r="B22" s="234" t="n">
        <v>0.4</v>
      </c>
      <c r="C22" s="235" t="n">
        <f aca="false">$D$7*$D$8/MAX($B22-(C$20-1),0.05)</f>
        <v>280.363636363636</v>
      </c>
      <c r="D22" s="235" t="n">
        <f aca="false">$D$7*$D$8/MAX($B22-(D$20-1),0.05)</f>
        <v>385.5</v>
      </c>
      <c r="E22" s="235" t="n">
        <f aca="false">$D$7*$D$8/MAX($B22-(E$20-1),0.05)</f>
        <v>514</v>
      </c>
      <c r="F22" s="235" t="n">
        <f aca="false">$D$7*$D$8/MAX($B22-(F$20-1),0.05)</f>
        <v>771</v>
      </c>
    </row>
    <row r="23" customFormat="false" ht="15" hidden="false" customHeight="true" outlineLevel="0" collapsed="false">
      <c r="B23" s="234" t="n">
        <v>0.6</v>
      </c>
      <c r="C23" s="235" t="n">
        <f aca="false">$D$7*$D$8/MAX($B23-(C$20-1),0.05)</f>
        <v>205.6</v>
      </c>
      <c r="D23" s="235" t="n">
        <f aca="false">$D$7*$D$8/MAX($B23-(D$20-1),0.05)</f>
        <v>257</v>
      </c>
      <c r="E23" s="235" t="n">
        <f aca="false">$D$7*$D$8/MAX($B23-(E$20-1),0.05)</f>
        <v>308.4</v>
      </c>
      <c r="F23" s="235" t="n">
        <f aca="false">$D$7*$D$8/MAX($B23-(F$20-1),0.05)</f>
        <v>385.5</v>
      </c>
    </row>
    <row r="24" customFormat="false" ht="15" hidden="false" customHeight="true" outlineLevel="0" collapsed="false">
      <c r="B24" s="230" t="s">
        <v>759</v>
      </c>
      <c r="C24" s="231" t="n">
        <f aca="false">D10</f>
        <v>0.4</v>
      </c>
    </row>
    <row r="26" customFormat="false" ht="15" hidden="false" customHeight="true" outlineLevel="0" collapsed="false">
      <c r="B26" s="137" t="s">
        <v>760</v>
      </c>
      <c r="C26" s="137"/>
      <c r="D26" s="137"/>
      <c r="E26" s="137"/>
    </row>
    <row r="27" customFormat="false" ht="15" hidden="false" customHeight="true" outlineLevel="0" collapsed="false">
      <c r="B27" s="97" t="s">
        <v>761</v>
      </c>
      <c r="C27" s="219" t="n">
        <f aca="false">D7</f>
        <v>196.2</v>
      </c>
    </row>
    <row r="28" customFormat="false" ht="15" hidden="false" customHeight="true" outlineLevel="0" collapsed="false">
      <c r="B28" s="230" t="s">
        <v>762</v>
      </c>
      <c r="C28" s="236" t="n">
        <f aca="false">D7</f>
        <v>196.2</v>
      </c>
    </row>
    <row r="30" customFormat="false" ht="15" hidden="false" customHeight="true" outlineLevel="0" collapsed="false">
      <c r="B30" s="230" t="s">
        <v>763</v>
      </c>
      <c r="C30" s="236" t="n">
        <f aca="false">D9</f>
        <v>154.2</v>
      </c>
    </row>
    <row r="32" customFormat="false" ht="15" hidden="false" customHeight="true" outlineLevel="0" collapsed="false">
      <c r="B32" s="230" t="s">
        <v>764</v>
      </c>
      <c r="C32" s="237" t="n">
        <f aca="false">D16</f>
        <v>440.571428571429</v>
      </c>
    </row>
  </sheetData>
  <mergeCells count="5">
    <mergeCell ref="B2:E2"/>
    <mergeCell ref="B5:E5"/>
    <mergeCell ref="B14:E14"/>
    <mergeCell ref="B19:E19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6" min="3" style="1" width="16"/>
    <col collapsed="false" customWidth="true" hidden="false" outlineLevel="0" max="7" min="7" style="1" width="4"/>
    <col collapsed="false" customWidth="true" hidden="false" outlineLevel="0" max="8" min="8" style="1" width="40"/>
  </cols>
  <sheetData>
    <row r="2" customFormat="false" ht="25.5" hidden="false" customHeight="true" outlineLevel="0" collapsed="false">
      <c r="B2" s="135" t="s">
        <v>765</v>
      </c>
      <c r="C2" s="135"/>
      <c r="D2" s="135"/>
      <c r="E2" s="135"/>
      <c r="F2" s="135"/>
    </row>
    <row r="3" customFormat="false" ht="21.75" hidden="false" customHeight="true" outlineLevel="0" collapsed="false">
      <c r="B3" s="136" t="s">
        <v>766</v>
      </c>
    </row>
    <row r="5" customFormat="false" ht="15" hidden="false" customHeight="true" outlineLevel="0" collapsed="false">
      <c r="B5" s="137" t="s">
        <v>767</v>
      </c>
      <c r="C5" s="137"/>
      <c r="D5" s="137"/>
      <c r="E5" s="137"/>
      <c r="F5" s="137"/>
    </row>
    <row r="6" customFormat="false" ht="26.25" hidden="false" customHeight="true" outlineLevel="0" collapsed="false">
      <c r="B6" s="107" t="s">
        <v>696</v>
      </c>
      <c r="C6" s="107" t="s">
        <v>455</v>
      </c>
      <c r="D6" s="107" t="s">
        <v>768</v>
      </c>
      <c r="E6" s="107" t="s">
        <v>769</v>
      </c>
      <c r="F6" s="107" t="s">
        <v>770</v>
      </c>
    </row>
    <row r="7" customFormat="false" ht="26.25" hidden="false" customHeight="true" outlineLevel="0" collapsed="false">
      <c r="B7" s="108" t="s">
        <v>698</v>
      </c>
      <c r="C7" s="224" t="n">
        <f aca="false">Assumptions!C40</f>
        <v>15</v>
      </c>
      <c r="D7" s="225" t="n">
        <f aca="false">Assumptions!D40</f>
        <v>0.2</v>
      </c>
      <c r="E7" s="226" t="n">
        <f aca="false">C7*D7</f>
        <v>3</v>
      </c>
      <c r="F7" s="238" t="n">
        <f aca="false">C7/(LTV!$D$9/12)</f>
        <v>1.16731517509728</v>
      </c>
    </row>
    <row r="8" customFormat="false" ht="15" hidden="false" customHeight="true" outlineLevel="0" collapsed="false">
      <c r="B8" s="108" t="s">
        <v>700</v>
      </c>
      <c r="C8" s="224" t="n">
        <f aca="false">Assumptions!C41</f>
        <v>80</v>
      </c>
      <c r="D8" s="225" t="n">
        <f aca="false">Assumptions!D41</f>
        <v>0.25</v>
      </c>
      <c r="E8" s="226" t="n">
        <f aca="false">C8*D8</f>
        <v>20</v>
      </c>
      <c r="F8" s="238" t="n">
        <f aca="false">C8/(LTV!$D$9/12)</f>
        <v>6.22568093385214</v>
      </c>
    </row>
    <row r="9" customFormat="false" ht="15" hidden="false" customHeight="true" outlineLevel="0" collapsed="false">
      <c r="B9" s="108" t="s">
        <v>771</v>
      </c>
      <c r="C9" s="224" t="n">
        <f aca="false">Assumptions!C42</f>
        <v>45</v>
      </c>
      <c r="D9" s="225" t="n">
        <f aca="false">Assumptions!D42</f>
        <v>0.15</v>
      </c>
      <c r="E9" s="226" t="n">
        <f aca="false">C9*D9</f>
        <v>6.75</v>
      </c>
      <c r="F9" s="238" t="n">
        <f aca="false">C9/(LTV!$D$9/12)</f>
        <v>3.50194552529183</v>
      </c>
    </row>
    <row r="10" customFormat="false" ht="15" hidden="false" customHeight="true" outlineLevel="0" collapsed="false">
      <c r="B10" s="108" t="s">
        <v>704</v>
      </c>
      <c r="C10" s="224" t="n">
        <f aca="false">Assumptions!C43</f>
        <v>60</v>
      </c>
      <c r="D10" s="225" t="n">
        <f aca="false">Assumptions!D43</f>
        <v>0.2</v>
      </c>
      <c r="E10" s="226" t="n">
        <f aca="false">C10*D10</f>
        <v>12</v>
      </c>
      <c r="F10" s="238" t="n">
        <f aca="false">C10/(LTV!$D$9/12)</f>
        <v>4.66926070038911</v>
      </c>
    </row>
    <row r="11" customFormat="false" ht="15" hidden="false" customHeight="true" outlineLevel="0" collapsed="false">
      <c r="B11" s="108" t="s">
        <v>706</v>
      </c>
      <c r="C11" s="224" t="n">
        <f aca="false">Assumptions!C44</f>
        <v>220</v>
      </c>
      <c r="D11" s="225" t="n">
        <f aca="false">Assumptions!D44</f>
        <v>0.2</v>
      </c>
      <c r="E11" s="226" t="n">
        <f aca="false">C11*D11</f>
        <v>44</v>
      </c>
      <c r="F11" s="238" t="n">
        <f aca="false">C11/(LTV!$D$9/12)</f>
        <v>17.1206225680934</v>
      </c>
    </row>
    <row r="12" customFormat="false" ht="15" hidden="false" customHeight="true" outlineLevel="0" collapsed="false">
      <c r="B12" s="97" t="s">
        <v>708</v>
      </c>
      <c r="D12" s="218" t="n">
        <f aca="false">SUM(D7:D11)</f>
        <v>1</v>
      </c>
    </row>
    <row r="13" customFormat="false" ht="15" hidden="false" customHeight="true" outlineLevel="0" collapsed="false">
      <c r="B13" s="138" t="s">
        <v>710</v>
      </c>
      <c r="C13" s="223" t="n">
        <f aca="false">SUM(E7:E11)</f>
        <v>85.75</v>
      </c>
    </row>
    <row r="15" customFormat="false" ht="15" hidden="false" customHeight="true" outlineLevel="0" collapsed="false">
      <c r="B15" s="137" t="s">
        <v>772</v>
      </c>
      <c r="C15" s="137"/>
      <c r="D15" s="137"/>
      <c r="E15" s="137"/>
    </row>
    <row r="16" customFormat="false" ht="26.25" hidden="false" customHeight="true" outlineLevel="0" collapsed="false">
      <c r="B16" s="97" t="s">
        <v>47</v>
      </c>
      <c r="C16" s="107" t="s">
        <v>773</v>
      </c>
      <c r="D16" s="107" t="s">
        <v>592</v>
      </c>
      <c r="E16" s="107" t="s">
        <v>774</v>
      </c>
    </row>
    <row r="17" customFormat="false" ht="15" hidden="false" customHeight="true" outlineLevel="0" collapsed="false">
      <c r="B17" s="97" t="s">
        <v>132</v>
      </c>
      <c r="C17" s="216" t="n">
        <f aca="false">C13*1.3</f>
        <v>111.475</v>
      </c>
      <c r="D17" s="216" t="n">
        <f aca="false">C13</f>
        <v>85.75</v>
      </c>
      <c r="E17" s="216" t="n">
        <f aca="false">C13*0.7</f>
        <v>60.025</v>
      </c>
    </row>
    <row r="18" customFormat="false" ht="15" hidden="false" customHeight="true" outlineLevel="0" collapsed="false">
      <c r="B18" s="97" t="s">
        <v>775</v>
      </c>
      <c r="C18" s="239" t="n">
        <f aca="false">C17/(LTV!$C$9/12)</f>
        <v>477.750000000001</v>
      </c>
      <c r="D18" s="239" t="n">
        <f aca="false">D17/(LTV!$D$9/12)</f>
        <v>6.67315175097276</v>
      </c>
      <c r="E18" s="239" t="n">
        <f aca="false">E17/(LTV!$E$9/12)</f>
        <v>0.981468864967979</v>
      </c>
    </row>
    <row r="19" customFormat="false" ht="15" hidden="false" customHeight="true" outlineLevel="0" collapsed="false">
      <c r="B19" s="230" t="s">
        <v>776</v>
      </c>
      <c r="C19" s="237" t="n">
        <f aca="false">D17</f>
        <v>85.75</v>
      </c>
    </row>
    <row r="21" customFormat="false" ht="15" hidden="false" customHeight="true" outlineLevel="0" collapsed="false">
      <c r="B21" s="137" t="s">
        <v>777</v>
      </c>
      <c r="C21" s="137"/>
      <c r="D21" s="137"/>
      <c r="E21" s="137"/>
    </row>
    <row r="22" customFormat="false" ht="32.25" hidden="false" customHeight="true" outlineLevel="0" collapsed="false">
      <c r="B22" s="97" t="s">
        <v>657</v>
      </c>
      <c r="C22" s="240" t="n">
        <f aca="false">LTV!C16/C17</f>
        <v>0.0334903192046049</v>
      </c>
      <c r="F22" s="136" t="s">
        <v>778</v>
      </c>
    </row>
    <row r="23" customFormat="false" ht="21.75" hidden="false" customHeight="true" outlineLevel="0" collapsed="false">
      <c r="B23" s="97" t="s">
        <v>592</v>
      </c>
      <c r="C23" s="240" t="n">
        <f aca="false">LTV!D16/D17</f>
        <v>5.13785922532278</v>
      </c>
      <c r="F23" s="136" t="s">
        <v>779</v>
      </c>
    </row>
    <row r="24" customFormat="false" ht="42.75" hidden="false" customHeight="true" outlineLevel="0" collapsed="false">
      <c r="B24" s="97" t="s">
        <v>658</v>
      </c>
      <c r="C24" s="240" t="n">
        <f aca="false">LTV!E16/E17</f>
        <v>244.531445231154</v>
      </c>
      <c r="F24" s="136" t="s">
        <v>780</v>
      </c>
    </row>
    <row r="26" customFormat="false" ht="15" hidden="false" customHeight="true" outlineLevel="0" collapsed="false">
      <c r="B26" s="137" t="s">
        <v>781</v>
      </c>
      <c r="C26" s="137"/>
      <c r="D26" s="137"/>
      <c r="E26" s="137"/>
      <c r="F26" s="137"/>
    </row>
    <row r="27" customFormat="false" ht="15" hidden="false" customHeight="true" outlineLevel="0" collapsed="false">
      <c r="B27" s="107" t="s">
        <v>153</v>
      </c>
      <c r="C27" s="107" t="s">
        <v>782</v>
      </c>
      <c r="D27" s="107" t="s">
        <v>345</v>
      </c>
      <c r="E27" s="107" t="s">
        <v>159</v>
      </c>
    </row>
    <row r="28" customFormat="false" ht="15" hidden="false" customHeight="true" outlineLevel="0" collapsed="false">
      <c r="B28" s="108" t="s">
        <v>657</v>
      </c>
      <c r="C28" s="241" t="n">
        <f aca="false">C22</f>
        <v>0.0334903192046049</v>
      </c>
      <c r="D28" s="238" t="n">
        <f aca="false">C18</f>
        <v>477.750000000001</v>
      </c>
      <c r="E28" s="242" t="str">
        <f aca="false">IF(C28&gt;=3,"OK",IF(C28&gt;=2,"VENTANA AJUSTADA","ROTO — pivota o baja CAC"))</f>
        <v>ROTO — pivota o baja CAC</v>
      </c>
    </row>
    <row r="29" customFormat="false" ht="15" hidden="false" customHeight="true" outlineLevel="0" collapsed="false">
      <c r="B29" s="108" t="s">
        <v>592</v>
      </c>
      <c r="C29" s="241" t="n">
        <f aca="false">C23</f>
        <v>5.13785922532278</v>
      </c>
      <c r="D29" s="238" t="n">
        <f aca="false">D18</f>
        <v>6.67315175097276</v>
      </c>
      <c r="E29" s="242" t="str">
        <f aca="false">IF(C29&gt;=3,"OK",IF(C29&gt;=2,"VENTANA AJUSTADA","ROTO — pivota o baja CAC"))</f>
        <v>OK</v>
      </c>
    </row>
    <row r="30" customFormat="false" ht="15" hidden="false" customHeight="true" outlineLevel="0" collapsed="false">
      <c r="B30" s="108" t="s">
        <v>658</v>
      </c>
      <c r="C30" s="241" t="n">
        <f aca="false">C24</f>
        <v>244.531445231154</v>
      </c>
      <c r="D30" s="238" t="n">
        <f aca="false">E18</f>
        <v>0.981468864967979</v>
      </c>
      <c r="E30" s="242" t="str">
        <f aca="false">IF(C30&gt;=3,"OK",IF(C30&gt;=2,"VENTANA AJUSTADA","ROTO — pivota o baja CAC"))</f>
        <v>OK</v>
      </c>
    </row>
  </sheetData>
  <mergeCells count="5">
    <mergeCell ref="B2:F2"/>
    <mergeCell ref="B5:F5"/>
    <mergeCell ref="B15:E15"/>
    <mergeCell ref="B21:E21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27" min="3" style="1" width="11"/>
  </cols>
  <sheetData>
    <row r="2" customFormat="false" ht="25.5" hidden="false" customHeight="true" outlineLevel="0" collapsed="false">
      <c r="B2" s="135" t="s">
        <v>783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customFormat="false" ht="32.25" hidden="false" customHeight="true" outlineLevel="0" collapsed="false">
      <c r="B3" s="136" t="s">
        <v>784</v>
      </c>
    </row>
    <row r="5" customFormat="false" ht="15" hidden="false" customHeight="true" outlineLevel="0" collapsed="false">
      <c r="B5" s="138" t="s">
        <v>785</v>
      </c>
      <c r="C5" s="243" t="s">
        <v>184</v>
      </c>
      <c r="D5" s="243" t="s">
        <v>190</v>
      </c>
      <c r="E5" s="243" t="s">
        <v>197</v>
      </c>
      <c r="F5" s="243" t="s">
        <v>191</v>
      </c>
      <c r="G5" s="243" t="s">
        <v>441</v>
      </c>
      <c r="H5" s="243" t="s">
        <v>202</v>
      </c>
      <c r="I5" s="243" t="s">
        <v>442</v>
      </c>
      <c r="J5" s="243" t="s">
        <v>209</v>
      </c>
      <c r="K5" s="243" t="s">
        <v>443</v>
      </c>
      <c r="L5" s="243" t="s">
        <v>203</v>
      </c>
      <c r="M5" s="243" t="s">
        <v>210</v>
      </c>
      <c r="N5" s="243" t="s">
        <v>444</v>
      </c>
      <c r="O5" s="243" t="s">
        <v>445</v>
      </c>
      <c r="P5" s="243" t="s">
        <v>221</v>
      </c>
      <c r="Q5" s="243" t="s">
        <v>215</v>
      </c>
      <c r="R5" s="243" t="s">
        <v>446</v>
      </c>
      <c r="S5" s="243" t="s">
        <v>447</v>
      </c>
      <c r="T5" s="243" t="s">
        <v>448</v>
      </c>
      <c r="U5" s="243" t="s">
        <v>222</v>
      </c>
      <c r="V5" s="243" t="s">
        <v>449</v>
      </c>
      <c r="W5" s="243" t="s">
        <v>228</v>
      </c>
      <c r="X5" s="243" t="s">
        <v>450</v>
      </c>
      <c r="Y5" s="243" t="s">
        <v>451</v>
      </c>
      <c r="Z5" s="243" t="s">
        <v>452</v>
      </c>
      <c r="AA5" s="243" t="s">
        <v>453</v>
      </c>
    </row>
    <row r="6" customFormat="false" ht="15" hidden="false" customHeight="true" outlineLevel="0" collapsed="false">
      <c r="B6" s="97" t="s">
        <v>786</v>
      </c>
      <c r="C6" s="244" t="n">
        <f aca="false">-CAC!$D$17</f>
        <v>-85.75</v>
      </c>
      <c r="D6" s="226" t="n">
        <f aca="false">LTV!$D$7/12</f>
        <v>16.35</v>
      </c>
      <c r="E6" s="226" t="n">
        <f aca="false">LTV!$D$7/12</f>
        <v>16.35</v>
      </c>
      <c r="F6" s="226" t="n">
        <f aca="false">LTV!$D$7/12</f>
        <v>16.35</v>
      </c>
      <c r="G6" s="226" t="n">
        <f aca="false">LTV!$D$7/12</f>
        <v>16.35</v>
      </c>
      <c r="H6" s="226" t="n">
        <f aca="false">LTV!$D$7/12</f>
        <v>16.35</v>
      </c>
      <c r="I6" s="226" t="n">
        <f aca="false">LTV!$D$7/12</f>
        <v>16.35</v>
      </c>
      <c r="J6" s="226" t="n">
        <f aca="false">LTV!$D$7/12</f>
        <v>16.35</v>
      </c>
      <c r="K6" s="226" t="n">
        <f aca="false">LTV!$D$7/12</f>
        <v>16.35</v>
      </c>
      <c r="L6" s="226" t="n">
        <f aca="false">LTV!$D$7/12</f>
        <v>16.35</v>
      </c>
      <c r="M6" s="226" t="n">
        <f aca="false">LTV!$D$7/12</f>
        <v>16.35</v>
      </c>
      <c r="N6" s="226" t="n">
        <f aca="false">LTV!$D$7/12</f>
        <v>16.35</v>
      </c>
      <c r="O6" s="226" t="n">
        <f aca="false">LTV!$D$7/12</f>
        <v>16.35</v>
      </c>
      <c r="P6" s="226" t="n">
        <f aca="false">LTV!$D$7/12</f>
        <v>16.35</v>
      </c>
      <c r="Q6" s="226" t="n">
        <f aca="false">LTV!$D$7/12</f>
        <v>16.35</v>
      </c>
      <c r="R6" s="226" t="n">
        <f aca="false">LTV!$D$7/12</f>
        <v>16.35</v>
      </c>
      <c r="S6" s="226" t="n">
        <f aca="false">LTV!$D$7/12</f>
        <v>16.35</v>
      </c>
      <c r="T6" s="226" t="n">
        <f aca="false">LTV!$D$7/12</f>
        <v>16.35</v>
      </c>
      <c r="U6" s="226" t="n">
        <f aca="false">LTV!$D$7/12</f>
        <v>16.35</v>
      </c>
      <c r="V6" s="226" t="n">
        <f aca="false">LTV!$D$7/12</f>
        <v>16.35</v>
      </c>
      <c r="W6" s="226" t="n">
        <f aca="false">LTV!$D$7/12</f>
        <v>16.35</v>
      </c>
      <c r="X6" s="226" t="n">
        <f aca="false">LTV!$D$7/12</f>
        <v>16.35</v>
      </c>
      <c r="Y6" s="226" t="n">
        <f aca="false">LTV!$D$7/12</f>
        <v>16.35</v>
      </c>
      <c r="Z6" s="226" t="n">
        <f aca="false">LTV!$D$7/12</f>
        <v>16.35</v>
      </c>
      <c r="AA6" s="226" t="n">
        <f aca="false">LTV!$D$7/12</f>
        <v>16.35</v>
      </c>
    </row>
    <row r="7" customFormat="false" ht="15" hidden="false" customHeight="true" outlineLevel="0" collapsed="false">
      <c r="B7" s="108" t="s">
        <v>787</v>
      </c>
      <c r="C7" s="226" t="n">
        <f aca="false">0</f>
        <v>0</v>
      </c>
      <c r="D7" s="226" t="n">
        <f aca="false">-'Gross Margin'!$D$20/12</f>
        <v>-3.5</v>
      </c>
      <c r="E7" s="226" t="n">
        <f aca="false">-'Gross Margin'!$D$20/12</f>
        <v>-3.5</v>
      </c>
      <c r="F7" s="226" t="n">
        <f aca="false">-'Gross Margin'!$D$20/12</f>
        <v>-3.5</v>
      </c>
      <c r="G7" s="226" t="n">
        <f aca="false">-'Gross Margin'!$D$20/12</f>
        <v>-3.5</v>
      </c>
      <c r="H7" s="226" t="n">
        <f aca="false">-'Gross Margin'!$D$20/12</f>
        <v>-3.5</v>
      </c>
      <c r="I7" s="226" t="n">
        <f aca="false">-'Gross Margin'!$D$20/12</f>
        <v>-3.5</v>
      </c>
      <c r="J7" s="226" t="n">
        <f aca="false">-'Gross Margin'!$D$20/12</f>
        <v>-3.5</v>
      </c>
      <c r="K7" s="226" t="n">
        <f aca="false">-'Gross Margin'!$D$20/12</f>
        <v>-3.5</v>
      </c>
      <c r="L7" s="226" t="n">
        <f aca="false">-'Gross Margin'!$D$20/12</f>
        <v>-3.5</v>
      </c>
      <c r="M7" s="226" t="n">
        <f aca="false">-'Gross Margin'!$D$20/12</f>
        <v>-3.5</v>
      </c>
      <c r="N7" s="226" t="n">
        <f aca="false">-'Gross Margin'!$D$20/12</f>
        <v>-3.5</v>
      </c>
      <c r="O7" s="226" t="n">
        <f aca="false">-'Gross Margin'!$D$20/12</f>
        <v>-3.5</v>
      </c>
      <c r="P7" s="226" t="n">
        <f aca="false">-'Gross Margin'!$D$20/12</f>
        <v>-3.5</v>
      </c>
      <c r="Q7" s="226" t="n">
        <f aca="false">-'Gross Margin'!$D$20/12</f>
        <v>-3.5</v>
      </c>
      <c r="R7" s="226" t="n">
        <f aca="false">-'Gross Margin'!$D$20/12</f>
        <v>-3.5</v>
      </c>
      <c r="S7" s="226" t="n">
        <f aca="false">-'Gross Margin'!$D$20/12</f>
        <v>-3.5</v>
      </c>
      <c r="T7" s="226" t="n">
        <f aca="false">-'Gross Margin'!$D$20/12</f>
        <v>-3.5</v>
      </c>
      <c r="U7" s="226" t="n">
        <f aca="false">-'Gross Margin'!$D$20/12</f>
        <v>-3.5</v>
      </c>
      <c r="V7" s="226" t="n">
        <f aca="false">-'Gross Margin'!$D$20/12</f>
        <v>-3.5</v>
      </c>
      <c r="W7" s="226" t="n">
        <f aca="false">-'Gross Margin'!$D$20/12</f>
        <v>-3.5</v>
      </c>
      <c r="X7" s="226" t="n">
        <f aca="false">-'Gross Margin'!$D$20/12</f>
        <v>-3.5</v>
      </c>
      <c r="Y7" s="226" t="n">
        <f aca="false">-'Gross Margin'!$D$20/12</f>
        <v>-3.5</v>
      </c>
      <c r="Z7" s="226" t="n">
        <f aca="false">-'Gross Margin'!$D$20/12</f>
        <v>-3.5</v>
      </c>
      <c r="AA7" s="226" t="n">
        <f aca="false">-'Gross Margin'!$D$20/12</f>
        <v>-3.5</v>
      </c>
    </row>
    <row r="8" customFormat="false" ht="26.25" hidden="false" customHeight="true" outlineLevel="0" collapsed="false">
      <c r="B8" s="97" t="s">
        <v>788</v>
      </c>
      <c r="C8" s="219" t="n">
        <f aca="false">C6+C7</f>
        <v>-85.75</v>
      </c>
      <c r="D8" s="219" t="n">
        <f aca="false">D6+D7</f>
        <v>12.85</v>
      </c>
      <c r="E8" s="219" t="n">
        <f aca="false">E6+E7</f>
        <v>12.85</v>
      </c>
      <c r="F8" s="219" t="n">
        <f aca="false">F6+F7</f>
        <v>12.85</v>
      </c>
      <c r="G8" s="219" t="n">
        <f aca="false">G6+G7</f>
        <v>12.85</v>
      </c>
      <c r="H8" s="219" t="n">
        <f aca="false">H6+H7</f>
        <v>12.85</v>
      </c>
      <c r="I8" s="219" t="n">
        <f aca="false">I6+I7</f>
        <v>12.85</v>
      </c>
      <c r="J8" s="219" t="n">
        <f aca="false">J6+J7</f>
        <v>12.85</v>
      </c>
      <c r="K8" s="219" t="n">
        <f aca="false">K6+K7</f>
        <v>12.85</v>
      </c>
      <c r="L8" s="219" t="n">
        <f aca="false">L6+L7</f>
        <v>12.85</v>
      </c>
      <c r="M8" s="219" t="n">
        <f aca="false">M6+M7</f>
        <v>12.85</v>
      </c>
      <c r="N8" s="219" t="n">
        <f aca="false">N6+N7</f>
        <v>12.85</v>
      </c>
      <c r="O8" s="219" t="n">
        <f aca="false">O6+O7</f>
        <v>12.85</v>
      </c>
      <c r="P8" s="219" t="n">
        <f aca="false">P6+P7</f>
        <v>12.85</v>
      </c>
      <c r="Q8" s="219" t="n">
        <f aca="false">Q6+Q7</f>
        <v>12.85</v>
      </c>
      <c r="R8" s="219" t="n">
        <f aca="false">R6+R7</f>
        <v>12.85</v>
      </c>
      <c r="S8" s="219" t="n">
        <f aca="false">S6+S7</f>
        <v>12.85</v>
      </c>
      <c r="T8" s="219" t="n">
        <f aca="false">T6+T7</f>
        <v>12.85</v>
      </c>
      <c r="U8" s="219" t="n">
        <f aca="false">U6+U7</f>
        <v>12.85</v>
      </c>
      <c r="V8" s="219" t="n">
        <f aca="false">V6+V7</f>
        <v>12.85</v>
      </c>
      <c r="W8" s="219" t="n">
        <f aca="false">W6+W7</f>
        <v>12.85</v>
      </c>
      <c r="X8" s="219" t="n">
        <f aca="false">X6+X7</f>
        <v>12.85</v>
      </c>
      <c r="Y8" s="219" t="n">
        <f aca="false">Y6+Y7</f>
        <v>12.85</v>
      </c>
      <c r="Z8" s="219" t="n">
        <f aca="false">Z6+Z7</f>
        <v>12.85</v>
      </c>
      <c r="AA8" s="219" t="n">
        <f aca="false">AA6+AA7</f>
        <v>12.85</v>
      </c>
    </row>
    <row r="9" customFormat="false" ht="15" hidden="false" customHeight="true" outlineLevel="0" collapsed="false">
      <c r="B9" s="97" t="s">
        <v>789</v>
      </c>
      <c r="C9" s="219" t="n">
        <f aca="false">C8</f>
        <v>-85.75</v>
      </c>
      <c r="D9" s="219" t="n">
        <f aca="false">C9+D8</f>
        <v>-72.9</v>
      </c>
      <c r="E9" s="219" t="n">
        <f aca="false">D9+E8</f>
        <v>-60.05</v>
      </c>
      <c r="F9" s="219" t="n">
        <f aca="false">E9+F8</f>
        <v>-47.2</v>
      </c>
      <c r="G9" s="219" t="n">
        <f aca="false">F9+G8</f>
        <v>-34.35</v>
      </c>
      <c r="H9" s="219" t="n">
        <f aca="false">G9+H8</f>
        <v>-21.5</v>
      </c>
      <c r="I9" s="219" t="n">
        <f aca="false">H9+I8</f>
        <v>-8.65000000000003</v>
      </c>
      <c r="J9" s="219" t="n">
        <f aca="false">I9+J8</f>
        <v>4.19999999999997</v>
      </c>
      <c r="K9" s="219" t="n">
        <f aca="false">J9+K8</f>
        <v>17.05</v>
      </c>
      <c r="L9" s="219" t="n">
        <f aca="false">K9+L8</f>
        <v>29.9</v>
      </c>
      <c r="M9" s="219" t="n">
        <f aca="false">L9+M8</f>
        <v>42.75</v>
      </c>
      <c r="N9" s="219" t="n">
        <f aca="false">M9+N8</f>
        <v>55.6</v>
      </c>
      <c r="O9" s="219" t="n">
        <f aca="false">N9+O8</f>
        <v>68.45</v>
      </c>
      <c r="P9" s="219" t="n">
        <f aca="false">O9+P8</f>
        <v>81.3</v>
      </c>
      <c r="Q9" s="219" t="n">
        <f aca="false">P9+Q8</f>
        <v>94.15</v>
      </c>
      <c r="R9" s="219" t="n">
        <f aca="false">Q9+R8</f>
        <v>107</v>
      </c>
      <c r="S9" s="219" t="n">
        <f aca="false">R9+S8</f>
        <v>119.85</v>
      </c>
      <c r="T9" s="219" t="n">
        <f aca="false">S9+T8</f>
        <v>132.7</v>
      </c>
      <c r="U9" s="219" t="n">
        <f aca="false">T9+U8</f>
        <v>145.55</v>
      </c>
      <c r="V9" s="219" t="n">
        <f aca="false">U9+V8</f>
        <v>158.4</v>
      </c>
      <c r="W9" s="219" t="n">
        <f aca="false">V9+W8</f>
        <v>171.25</v>
      </c>
      <c r="X9" s="219" t="n">
        <f aca="false">W9+X8</f>
        <v>184.1</v>
      </c>
      <c r="Y9" s="219" t="n">
        <f aca="false">X9+Y8</f>
        <v>196.95</v>
      </c>
      <c r="Z9" s="219" t="n">
        <f aca="false">Y9+Z8</f>
        <v>209.8</v>
      </c>
      <c r="AA9" s="219" t="n">
        <f aca="false">Z9+AA8</f>
        <v>222.65</v>
      </c>
    </row>
    <row r="10" customFormat="false" ht="15" hidden="false" customHeight="true" outlineLevel="0" collapsed="false">
      <c r="B10" s="97" t="s">
        <v>790</v>
      </c>
      <c r="C10" s="245" t="str">
        <f aca="false">IF(C9&gt;=0,"SI","NO")</f>
        <v>NO</v>
      </c>
      <c r="D10" s="245" t="str">
        <f aca="false">IF(AND(C9&lt;0,D9&gt;=0),"PAYBACK",IF(D9&gt;=0,"+",""))</f>
        <v/>
      </c>
      <c r="E10" s="245" t="str">
        <f aca="false">IF(AND(D9&lt;0,E9&gt;=0),"PAYBACK",IF(E9&gt;=0,"+",""))</f>
        <v/>
      </c>
      <c r="F10" s="245" t="str">
        <f aca="false">IF(AND(E9&lt;0,F9&gt;=0),"PAYBACK",IF(F9&gt;=0,"+",""))</f>
        <v/>
      </c>
      <c r="G10" s="245" t="str">
        <f aca="false">IF(AND(F9&lt;0,G9&gt;=0),"PAYBACK",IF(G9&gt;=0,"+",""))</f>
        <v/>
      </c>
      <c r="H10" s="245" t="str">
        <f aca="false">IF(AND(G9&lt;0,H9&gt;=0),"PAYBACK",IF(H9&gt;=0,"+",""))</f>
        <v/>
      </c>
      <c r="I10" s="245" t="str">
        <f aca="false">IF(AND(H9&lt;0,I9&gt;=0),"PAYBACK",IF(I9&gt;=0,"+",""))</f>
        <v/>
      </c>
      <c r="J10" s="245" t="str">
        <f aca="false">IF(AND(I9&lt;0,J9&gt;=0),"PAYBACK",IF(J9&gt;=0,"+",""))</f>
        <v>PAYBACK</v>
      </c>
      <c r="K10" s="245" t="str">
        <f aca="false">IF(AND(J9&lt;0,K9&gt;=0),"PAYBACK",IF(K9&gt;=0,"+",""))</f>
        <v>+</v>
      </c>
      <c r="L10" s="245" t="str">
        <f aca="false">IF(AND(K9&lt;0,L9&gt;=0),"PAYBACK",IF(L9&gt;=0,"+",""))</f>
        <v>+</v>
      </c>
      <c r="M10" s="245" t="str">
        <f aca="false">IF(AND(L9&lt;0,M9&gt;=0),"PAYBACK",IF(M9&gt;=0,"+",""))</f>
        <v>+</v>
      </c>
      <c r="N10" s="245" t="str">
        <f aca="false">IF(AND(M9&lt;0,N9&gt;=0),"PAYBACK",IF(N9&gt;=0,"+",""))</f>
        <v>+</v>
      </c>
      <c r="O10" s="245" t="str">
        <f aca="false">IF(AND(N9&lt;0,O9&gt;=0),"PAYBACK",IF(O9&gt;=0,"+",""))</f>
        <v>+</v>
      </c>
      <c r="P10" s="245" t="str">
        <f aca="false">IF(AND(O9&lt;0,P9&gt;=0),"PAYBACK",IF(P9&gt;=0,"+",""))</f>
        <v>+</v>
      </c>
      <c r="Q10" s="245" t="str">
        <f aca="false">IF(AND(P9&lt;0,Q9&gt;=0),"PAYBACK",IF(Q9&gt;=0,"+",""))</f>
        <v>+</v>
      </c>
      <c r="R10" s="245" t="str">
        <f aca="false">IF(AND(Q9&lt;0,R9&gt;=0),"PAYBACK",IF(R9&gt;=0,"+",""))</f>
        <v>+</v>
      </c>
      <c r="S10" s="245" t="str">
        <f aca="false">IF(AND(R9&lt;0,S9&gt;=0),"PAYBACK",IF(S9&gt;=0,"+",""))</f>
        <v>+</v>
      </c>
      <c r="T10" s="245" t="str">
        <f aca="false">IF(AND(S9&lt;0,T9&gt;=0),"PAYBACK",IF(T9&gt;=0,"+",""))</f>
        <v>+</v>
      </c>
      <c r="U10" s="245" t="str">
        <f aca="false">IF(AND(T9&lt;0,U9&gt;=0),"PAYBACK",IF(U9&gt;=0,"+",""))</f>
        <v>+</v>
      </c>
      <c r="V10" s="245" t="str">
        <f aca="false">IF(AND(U9&lt;0,V9&gt;=0),"PAYBACK",IF(V9&gt;=0,"+",""))</f>
        <v>+</v>
      </c>
      <c r="W10" s="245" t="str">
        <f aca="false">IF(AND(V9&lt;0,W9&gt;=0),"PAYBACK",IF(W9&gt;=0,"+",""))</f>
        <v>+</v>
      </c>
      <c r="X10" s="245" t="str">
        <f aca="false">IF(AND(W9&lt;0,X9&gt;=0),"PAYBACK",IF(X9&gt;=0,"+",""))</f>
        <v>+</v>
      </c>
      <c r="Y10" s="245" t="str">
        <f aca="false">IF(AND(X9&lt;0,Y9&gt;=0),"PAYBACK",IF(Y9&gt;=0,"+",""))</f>
        <v>+</v>
      </c>
      <c r="Z10" s="245" t="str">
        <f aca="false">IF(AND(Y9&lt;0,Z9&gt;=0),"PAYBACK",IF(Z9&gt;=0,"+",""))</f>
        <v>+</v>
      </c>
      <c r="AA10" s="245" t="str">
        <f aca="false">IF(AND(Z9&lt;0,AA9&gt;=0),"PAYBACK",IF(AA9&gt;=0,"+",""))</f>
        <v>+</v>
      </c>
    </row>
    <row r="12" customFormat="false" ht="15" hidden="false" customHeight="true" outlineLevel="0" collapsed="false">
      <c r="B12" s="137" t="s">
        <v>791</v>
      </c>
      <c r="C12" s="137"/>
      <c r="D12" s="137"/>
      <c r="E12" s="137"/>
    </row>
    <row r="13" customFormat="false" ht="15" hidden="false" customHeight="true" outlineLevel="0" collapsed="false">
      <c r="B13" s="108" t="s">
        <v>792</v>
      </c>
      <c r="C13" s="235" t="n">
        <f aca="false">CAC!$D$17</f>
        <v>85.75</v>
      </c>
    </row>
    <row r="14" customFormat="false" ht="26.25" hidden="false" customHeight="true" outlineLevel="0" collapsed="false">
      <c r="B14" s="108" t="s">
        <v>793</v>
      </c>
      <c r="C14" s="226" t="n">
        <f aca="false">LTV!$D$7/12-'Gross Margin'!$D$20/12</f>
        <v>12.85</v>
      </c>
    </row>
    <row r="15" customFormat="false" ht="63.75" hidden="false" customHeight="true" outlineLevel="0" collapsed="false">
      <c r="B15" s="108" t="s">
        <v>794</v>
      </c>
      <c r="C15" s="242" t="n">
        <f aca="false">IFERROR(MATCH(TRUE(),INDEX(C9:Z9&gt;=0,0),0)-1,"No alcanza")</f>
        <v>7</v>
      </c>
      <c r="G15" s="136" t="s">
        <v>795</v>
      </c>
    </row>
    <row r="16" customFormat="false" ht="15" hidden="false" customHeight="true" outlineLevel="0" collapsed="false">
      <c r="B16" s="108" t="s">
        <v>796</v>
      </c>
      <c r="C16" s="233" t="n">
        <f aca="false">LTV!$D$17</f>
        <v>2.85714285714286</v>
      </c>
    </row>
    <row r="17" customFormat="false" ht="15" hidden="false" customHeight="true" outlineLevel="0" collapsed="false">
      <c r="B17" s="108" t="s">
        <v>797</v>
      </c>
      <c r="C17" s="235" t="n">
        <f aca="false">LTV!$D$16</f>
        <v>440.571428571429</v>
      </c>
    </row>
    <row r="18" customFormat="false" ht="15" hidden="false" customHeight="true" outlineLevel="0" collapsed="false">
      <c r="B18" s="108" t="s">
        <v>798</v>
      </c>
      <c r="C18" s="241" t="n">
        <f aca="false">C17/C13</f>
        <v>5.13785922532278</v>
      </c>
    </row>
    <row r="20" customFormat="false" ht="15" hidden="false" customHeight="true" outlineLevel="0" collapsed="false">
      <c r="B20" s="137" t="s">
        <v>799</v>
      </c>
      <c r="C20" s="137"/>
      <c r="D20" s="137"/>
      <c r="E20" s="137"/>
      <c r="F20" s="137"/>
    </row>
    <row r="21" customFormat="false" ht="26.25" hidden="false" customHeight="true" outlineLevel="0" collapsed="false">
      <c r="B21" s="107" t="s">
        <v>800</v>
      </c>
      <c r="C21" s="107" t="s">
        <v>801</v>
      </c>
      <c r="D21" s="107" t="s">
        <v>802</v>
      </c>
      <c r="E21" s="107" t="s">
        <v>803</v>
      </c>
      <c r="F21" s="107" t="s">
        <v>804</v>
      </c>
    </row>
    <row r="22" customFormat="false" ht="63.75" hidden="false" customHeight="true" outlineLevel="0" collapsed="false">
      <c r="B22" s="108" t="s">
        <v>805</v>
      </c>
      <c r="C22" s="108" t="s">
        <v>806</v>
      </c>
      <c r="D22" s="235" t="n">
        <f aca="false">Assumptions!D16</f>
        <v>29</v>
      </c>
      <c r="E22" s="235" t="n">
        <f aca="false">0</f>
        <v>0</v>
      </c>
      <c r="F22" s="136" t="s">
        <v>807</v>
      </c>
    </row>
    <row r="23" customFormat="false" ht="63.75" hidden="false" customHeight="true" outlineLevel="0" collapsed="false">
      <c r="B23" s="108" t="s">
        <v>808</v>
      </c>
      <c r="C23" s="108" t="s">
        <v>809</v>
      </c>
      <c r="D23" s="235" t="n">
        <f aca="false">Assumptions!D16*12*0.85</f>
        <v>295.8</v>
      </c>
      <c r="E23" s="235" t="n">
        <f aca="false">D23-Assumptions!D16</f>
        <v>266.8</v>
      </c>
      <c r="F23" s="136" t="s">
        <v>810</v>
      </c>
    </row>
    <row r="24" customFormat="false" ht="74.25" hidden="false" customHeight="true" outlineLevel="0" collapsed="false">
      <c r="B24" s="108" t="s">
        <v>811</v>
      </c>
      <c r="D24" s="216" t="n">
        <f aca="false">D23-D22</f>
        <v>266.8</v>
      </c>
      <c r="F24" s="136" t="s">
        <v>812</v>
      </c>
    </row>
  </sheetData>
  <mergeCells count="3">
    <mergeCell ref="B2:Z2"/>
    <mergeCell ref="B12:E12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6"/>
    <col collapsed="false" customWidth="true" hidden="false" outlineLevel="0" max="6" min="6" style="1" width="4"/>
    <col collapsed="false" customWidth="true" hidden="false" outlineLevel="0" max="7" min="7" style="1" width="50"/>
  </cols>
  <sheetData>
    <row r="2" customFormat="false" ht="25.5" hidden="false" customHeight="true" outlineLevel="0" collapsed="false">
      <c r="B2" s="135" t="s">
        <v>813</v>
      </c>
      <c r="C2" s="135"/>
      <c r="D2" s="135"/>
      <c r="E2" s="135"/>
    </row>
    <row r="3" customFormat="false" ht="21.75" hidden="false" customHeight="true" outlineLevel="0" collapsed="false">
      <c r="B3" s="136" t="s">
        <v>814</v>
      </c>
    </row>
    <row r="5" customFormat="false" ht="15" hidden="false" customHeight="true" outlineLevel="0" collapsed="false">
      <c r="B5" s="137" t="s">
        <v>815</v>
      </c>
      <c r="C5" s="137"/>
      <c r="D5" s="137"/>
      <c r="E5" s="137"/>
    </row>
    <row r="6" customFormat="false" ht="15" hidden="false" customHeight="true" outlineLevel="0" collapsed="false">
      <c r="B6" s="97" t="s">
        <v>47</v>
      </c>
      <c r="C6" s="107" t="s">
        <v>657</v>
      </c>
      <c r="D6" s="107" t="s">
        <v>592</v>
      </c>
      <c r="E6" s="107" t="s">
        <v>658</v>
      </c>
    </row>
    <row r="7" customFormat="false" ht="15" hidden="false" customHeight="true" outlineLevel="0" collapsed="false">
      <c r="B7" s="108" t="s">
        <v>763</v>
      </c>
      <c r="C7" s="227" t="n">
        <f aca="false">'Gross Margin'!C23</f>
        <v>2.8</v>
      </c>
      <c r="D7" s="227" t="n">
        <f aca="false">'Gross Margin'!D23</f>
        <v>154.2</v>
      </c>
      <c r="E7" s="227" t="n">
        <f aca="false">'Gross Margin'!E23</f>
        <v>733.9</v>
      </c>
    </row>
    <row r="8" customFormat="false" ht="15" hidden="false" customHeight="true" outlineLevel="0" collapsed="false">
      <c r="B8" s="108" t="s">
        <v>816</v>
      </c>
      <c r="C8" s="224" t="n">
        <f aca="false">Assumptions!C54</f>
        <v>57000</v>
      </c>
      <c r="D8" s="224" t="n">
        <f aca="false">Assumptions!D54</f>
        <v>40200</v>
      </c>
      <c r="E8" s="224" t="n">
        <f aca="false">Assumptions!E54</f>
        <v>26400</v>
      </c>
    </row>
    <row r="9" customFormat="false" ht="15" hidden="false" customHeight="true" outlineLevel="0" collapsed="false">
      <c r="B9" s="108" t="s">
        <v>132</v>
      </c>
      <c r="C9" s="224" t="n">
        <f aca="false">CAC!C17</f>
        <v>111.475</v>
      </c>
      <c r="D9" s="224" t="n">
        <f aca="false">CAC!D17</f>
        <v>85.75</v>
      </c>
      <c r="E9" s="224" t="n">
        <f aca="false">CAC!E17</f>
        <v>60.025</v>
      </c>
    </row>
    <row r="11" customFormat="false" ht="15" hidden="false" customHeight="true" outlineLevel="0" collapsed="false">
      <c r="B11" s="137" t="s">
        <v>817</v>
      </c>
      <c r="C11" s="137"/>
      <c r="D11" s="137"/>
      <c r="E11" s="137"/>
    </row>
    <row r="12" customFormat="false" ht="15" hidden="false" customHeight="true" outlineLevel="0" collapsed="false">
      <c r="B12" s="97" t="s">
        <v>818</v>
      </c>
      <c r="C12" s="246" t="n">
        <f aca="false">C8/C7</f>
        <v>20357.1428571429</v>
      </c>
      <c r="D12" s="246" t="n">
        <f aca="false">D8/D7</f>
        <v>260.700389105058</v>
      </c>
      <c r="E12" s="246" t="n">
        <f aca="false">E8/E7</f>
        <v>35.972203297452</v>
      </c>
      <c r="G12" s="136" t="s">
        <v>819</v>
      </c>
    </row>
    <row r="14" customFormat="false" ht="15" hidden="false" customHeight="true" outlineLevel="0" collapsed="false">
      <c r="B14" s="137" t="s">
        <v>820</v>
      </c>
      <c r="C14" s="137"/>
      <c r="D14" s="137"/>
      <c r="E14" s="137"/>
    </row>
    <row r="15" customFormat="false" ht="26.25" hidden="false" customHeight="true" outlineLevel="0" collapsed="false">
      <c r="B15" s="97" t="s">
        <v>821</v>
      </c>
      <c r="C15" s="246" t="n">
        <f aca="false">C12*Assumptions!C27</f>
        <v>12214.2857142857</v>
      </c>
      <c r="D15" s="246" t="n">
        <f aca="false">D12*Assumptions!D27</f>
        <v>104.280155642023</v>
      </c>
      <c r="E15" s="246" t="n">
        <f aca="false">E12*Assumptions!E27</f>
        <v>8.99305082436299</v>
      </c>
    </row>
    <row r="16" customFormat="false" ht="26.25" hidden="false" customHeight="true" outlineLevel="0" collapsed="false">
      <c r="B16" s="97" t="s">
        <v>822</v>
      </c>
      <c r="C16" s="216" t="n">
        <f aca="false">C15*C9</f>
        <v>1361587.5</v>
      </c>
      <c r="D16" s="216" t="n">
        <f aca="false">D15*D9</f>
        <v>8942.0233463035</v>
      </c>
      <c r="E16" s="216" t="n">
        <f aca="false">E15*E9</f>
        <v>539.807875732389</v>
      </c>
    </row>
    <row r="17" customFormat="false" ht="15" hidden="false" customHeight="true" outlineLevel="0" collapsed="false">
      <c r="B17" s="97" t="s">
        <v>823</v>
      </c>
      <c r="C17" s="216" t="n">
        <f aca="false">C8+C16</f>
        <v>1418587.5</v>
      </c>
      <c r="D17" s="216" t="n">
        <f aca="false">D8+D16</f>
        <v>49142.0233463035</v>
      </c>
      <c r="E17" s="216" t="n">
        <f aca="false">E8+E16</f>
        <v>26939.8078757324</v>
      </c>
    </row>
    <row r="18" customFormat="false" ht="26.25" hidden="false" customHeight="true" outlineLevel="0" collapsed="false">
      <c r="B18" s="230" t="s">
        <v>824</v>
      </c>
      <c r="C18" s="247" t="n">
        <f aca="false">C17/C7</f>
        <v>506638.392857144</v>
      </c>
      <c r="D18" s="247" t="n">
        <f aca="false">D17/D7</f>
        <v>318.690164372915</v>
      </c>
      <c r="E18" s="247" t="n">
        <f aca="false">E17/E7</f>
        <v>36.7077365795509</v>
      </c>
      <c r="G18" s="136" t="s">
        <v>825</v>
      </c>
    </row>
    <row r="20" customFormat="false" ht="15" hidden="false" customHeight="true" outlineLevel="0" collapsed="false">
      <c r="B20" s="137" t="s">
        <v>826</v>
      </c>
      <c r="C20" s="137"/>
      <c r="D20" s="137"/>
      <c r="E20" s="137"/>
    </row>
    <row r="21" customFormat="false" ht="15" hidden="false" customHeight="true" outlineLevel="0" collapsed="false">
      <c r="B21" s="97" t="s">
        <v>47</v>
      </c>
      <c r="C21" s="107" t="s">
        <v>657</v>
      </c>
      <c r="D21" s="107" t="s">
        <v>592</v>
      </c>
      <c r="E21" s="107" t="s">
        <v>658</v>
      </c>
    </row>
    <row r="22" customFormat="false" ht="15" hidden="false" customHeight="true" outlineLevel="0" collapsed="false">
      <c r="B22" s="108" t="s">
        <v>827</v>
      </c>
      <c r="C22" s="248" t="n">
        <v>4</v>
      </c>
      <c r="D22" s="248" t="n">
        <v>3</v>
      </c>
      <c r="E22" s="248" t="n">
        <v>2</v>
      </c>
    </row>
    <row r="23" customFormat="false" ht="15" hidden="false" customHeight="true" outlineLevel="0" collapsed="false">
      <c r="B23" s="108" t="s">
        <v>828</v>
      </c>
      <c r="C23" s="235" t="n">
        <f aca="false">C8*C22</f>
        <v>228000</v>
      </c>
      <c r="D23" s="235" t="n">
        <f aca="false">D8*D22</f>
        <v>120600</v>
      </c>
      <c r="E23" s="235" t="n">
        <f aca="false">E8*E22</f>
        <v>52800</v>
      </c>
    </row>
    <row r="24" customFormat="false" ht="21.75" hidden="false" customHeight="true" outlineLevel="0" collapsed="false">
      <c r="B24" s="108" t="s">
        <v>829</v>
      </c>
      <c r="C24" s="235" t="n">
        <f aca="false">C18*C9</f>
        <v>56477514.8437501</v>
      </c>
      <c r="D24" s="235" t="n">
        <f aca="false">D18*D9</f>
        <v>27327.6815949775</v>
      </c>
      <c r="E24" s="235" t="n">
        <f aca="false">E18*E9</f>
        <v>2203.38188818754</v>
      </c>
      <c r="G24" s="136" t="s">
        <v>830</v>
      </c>
    </row>
    <row r="25" customFormat="false" ht="21.75" hidden="false" customHeight="true" outlineLevel="0" collapsed="false">
      <c r="B25" s="108" t="s">
        <v>831</v>
      </c>
      <c r="C25" s="235" t="n">
        <f aca="false">C18*C7*C22/2</f>
        <v>2837175</v>
      </c>
      <c r="D25" s="235" t="n">
        <f aca="false">D18*D7*D22/2</f>
        <v>73713.0350194553</v>
      </c>
      <c r="E25" s="235" t="n">
        <f aca="false">E18*E7*E22/2</f>
        <v>26939.8078757324</v>
      </c>
      <c r="G25" s="136" t="s">
        <v>832</v>
      </c>
    </row>
    <row r="26" customFormat="false" ht="15" hidden="false" customHeight="true" outlineLevel="0" collapsed="false">
      <c r="B26" s="97" t="s">
        <v>833</v>
      </c>
      <c r="C26" s="249" t="n">
        <f aca="false">-(C23+C24-C25)</f>
        <v>-53868339.8437501</v>
      </c>
      <c r="D26" s="249" t="n">
        <f aca="false">-(D23+D24-D25)</f>
        <v>-74214.6465755222</v>
      </c>
      <c r="E26" s="249" t="n">
        <f aca="false">-(E23+E24-E25)</f>
        <v>-28063.5740124552</v>
      </c>
    </row>
    <row r="27" customFormat="false" ht="15" hidden="false" customHeight="true" outlineLevel="0" collapsed="false">
      <c r="B27" s="97" t="s">
        <v>834</v>
      </c>
      <c r="C27" s="216" t="n">
        <f aca="false">C26*1.3</f>
        <v>-70028841.7968752</v>
      </c>
      <c r="D27" s="216" t="n">
        <f aca="false">D26*1.3</f>
        <v>-96479.0405481789</v>
      </c>
      <c r="E27" s="216" t="n">
        <f aca="false">E26*1.3</f>
        <v>-36482.6462161917</v>
      </c>
    </row>
    <row r="28" customFormat="false" ht="15" hidden="false" customHeight="true" outlineLevel="0" collapsed="false">
      <c r="B28" s="230" t="s">
        <v>835</v>
      </c>
      <c r="C28" s="237" t="n">
        <f aca="false">ABS(D26)</f>
        <v>74214.6465755222</v>
      </c>
    </row>
  </sheetData>
  <mergeCells count="5">
    <mergeCell ref="B2:E2"/>
    <mergeCell ref="B5:E5"/>
    <mergeCell ref="B11:E11"/>
    <mergeCell ref="B14:E14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8" min="8" style="1" width="4"/>
    <col collapsed="false" customWidth="true" hidden="false" outlineLevel="0" max="9" min="9" style="1" width="35"/>
  </cols>
  <sheetData>
    <row r="2" customFormat="false" ht="25.5" hidden="false" customHeight="true" outlineLevel="0" collapsed="false">
      <c r="B2" s="135" t="s">
        <v>836</v>
      </c>
      <c r="C2" s="135"/>
      <c r="D2" s="135"/>
      <c r="E2" s="135"/>
      <c r="F2" s="135"/>
      <c r="G2" s="135"/>
    </row>
    <row r="3" customFormat="false" ht="21.75" hidden="false" customHeight="true" outlineLevel="0" collapsed="false">
      <c r="B3" s="136" t="s">
        <v>837</v>
      </c>
    </row>
    <row r="5" customFormat="false" ht="15" hidden="false" customHeight="true" outlineLevel="0" collapsed="false">
      <c r="B5" s="137" t="s">
        <v>838</v>
      </c>
      <c r="C5" s="137"/>
      <c r="D5" s="137"/>
      <c r="E5" s="137"/>
      <c r="F5" s="137"/>
      <c r="G5" s="137"/>
    </row>
    <row r="6" customFormat="false" ht="15" hidden="false" customHeight="true" outlineLevel="0" collapsed="false">
      <c r="B6" s="138" t="s">
        <v>839</v>
      </c>
      <c r="C6" s="234" t="n">
        <v>-0.5</v>
      </c>
      <c r="D6" s="234" t="n">
        <v>-0.25</v>
      </c>
      <c r="E6" s="234" t="n">
        <v>0</v>
      </c>
      <c r="F6" s="234" t="n">
        <v>0.25</v>
      </c>
      <c r="G6" s="234" t="n">
        <v>0.5</v>
      </c>
    </row>
    <row r="7" customFormat="false" ht="15" hidden="false" customHeight="true" outlineLevel="0" collapsed="false">
      <c r="B7" s="234" t="n">
        <v>-0.2</v>
      </c>
      <c r="C7" s="241" t="n">
        <f aca="false">( ('Gross Margin'!$D$11*(1+$B7)) * 'Gross Margin'!$D$24 ) / MAX(Assumptions!$D$27*(1+C$6),0.05) / CAC!$D$17</f>
        <v>7.1930029154519</v>
      </c>
      <c r="D7" s="241" t="n">
        <f aca="false">( ('Gross Margin'!$D$11*(1+$B7)) * 'Gross Margin'!$D$24 ) / MAX(Assumptions!$D$27*(1+D$6),0.05) / CAC!$D$17</f>
        <v>4.79533527696793</v>
      </c>
      <c r="E7" s="241" t="n">
        <f aca="false">( ('Gross Margin'!$D$11*(1+$B7)) * 'Gross Margin'!$D$24 ) / MAX(Assumptions!$D$27*(1+E$6),0.05) / CAC!$D$17</f>
        <v>3.59650145772595</v>
      </c>
      <c r="F7" s="241" t="n">
        <f aca="false">( ('Gross Margin'!$D$11*(1+$B7)) * 'Gross Margin'!$D$24 ) / MAX(Assumptions!$D$27*(1+F$6),0.05) / CAC!$D$17</f>
        <v>2.87720116618076</v>
      </c>
      <c r="G7" s="241" t="n">
        <f aca="false">( ('Gross Margin'!$D$11*(1+$B7)) * 'Gross Margin'!$D$24 ) / MAX(Assumptions!$D$27*(1+G$6),0.05) / CAC!$D$17</f>
        <v>2.39766763848397</v>
      </c>
      <c r="I7" s="136" t="s">
        <v>840</v>
      </c>
    </row>
    <row r="8" customFormat="false" ht="15" hidden="false" customHeight="true" outlineLevel="0" collapsed="false">
      <c r="B8" s="234" t="n">
        <v>-0.1</v>
      </c>
      <c r="C8" s="241" t="n">
        <f aca="false">( ('Gross Margin'!$D$11*(1+$B8)) * 'Gross Margin'!$D$24 ) / MAX(Assumptions!$D$27*(1+C$6),0.05) / CAC!$D$17</f>
        <v>8.09212827988338</v>
      </c>
      <c r="D8" s="241" t="n">
        <f aca="false">( ('Gross Margin'!$D$11*(1+$B8)) * 'Gross Margin'!$D$24 ) / MAX(Assumptions!$D$27*(1+D$6),0.05) / CAC!$D$17</f>
        <v>5.39475218658892</v>
      </c>
      <c r="E8" s="241" t="n">
        <f aca="false">( ('Gross Margin'!$D$11*(1+$B8)) * 'Gross Margin'!$D$24 ) / MAX(Assumptions!$D$27*(1+E$6),0.05) / CAC!$D$17</f>
        <v>4.04606413994169</v>
      </c>
      <c r="F8" s="241" t="n">
        <f aca="false">( ('Gross Margin'!$D$11*(1+$B8)) * 'Gross Margin'!$D$24 ) / MAX(Assumptions!$D$27*(1+F$6),0.05) / CAC!$D$17</f>
        <v>3.23685131195335</v>
      </c>
      <c r="G8" s="241" t="n">
        <f aca="false">( ('Gross Margin'!$D$11*(1+$B8)) * 'Gross Margin'!$D$24 ) / MAX(Assumptions!$D$27*(1+G$6),0.05) / CAC!$D$17</f>
        <v>2.69737609329446</v>
      </c>
    </row>
    <row r="9" customFormat="false" ht="15" hidden="false" customHeight="true" outlineLevel="0" collapsed="false">
      <c r="B9" s="234" t="n">
        <v>0</v>
      </c>
      <c r="C9" s="241" t="n">
        <f aca="false">( ('Gross Margin'!$D$11*(1+$B9)) * 'Gross Margin'!$D$24 ) / MAX(Assumptions!$D$27*(1+C$6),0.05) / CAC!$D$17</f>
        <v>8.99125364431487</v>
      </c>
      <c r="D9" s="241" t="n">
        <f aca="false">( ('Gross Margin'!$D$11*(1+$B9)) * 'Gross Margin'!$D$24 ) / MAX(Assumptions!$D$27*(1+D$6),0.05) / CAC!$D$17</f>
        <v>5.99416909620991</v>
      </c>
      <c r="E9" s="241" t="n">
        <f aca="false">( ('Gross Margin'!$D$11*(1+$B9)) * 'Gross Margin'!$D$24 ) / MAX(Assumptions!$D$27*(1+E$6),0.05) / CAC!$D$17</f>
        <v>4.49562682215743</v>
      </c>
      <c r="F9" s="241" t="n">
        <f aca="false">( ('Gross Margin'!$D$11*(1+$B9)) * 'Gross Margin'!$D$24 ) / MAX(Assumptions!$D$27*(1+F$6),0.05) / CAC!$D$17</f>
        <v>3.59650145772595</v>
      </c>
      <c r="G9" s="241" t="n">
        <f aca="false">( ('Gross Margin'!$D$11*(1+$B9)) * 'Gross Margin'!$D$24 ) / MAX(Assumptions!$D$27*(1+G$6),0.05) / CAC!$D$17</f>
        <v>2.99708454810496</v>
      </c>
    </row>
    <row r="10" customFormat="false" ht="15" hidden="false" customHeight="true" outlineLevel="0" collapsed="false">
      <c r="B10" s="234" t="n">
        <v>0.1</v>
      </c>
      <c r="C10" s="241" t="n">
        <f aca="false">( ('Gross Margin'!$D$11*(1+$B10)) * 'Gross Margin'!$D$24 ) / MAX(Assumptions!$D$27*(1+C$6),0.05) / CAC!$D$17</f>
        <v>9.89037900874636</v>
      </c>
      <c r="D10" s="241" t="n">
        <f aca="false">( ('Gross Margin'!$D$11*(1+$B10)) * 'Gross Margin'!$D$24 ) / MAX(Assumptions!$D$27*(1+D$6),0.05) / CAC!$D$17</f>
        <v>6.5935860058309</v>
      </c>
      <c r="E10" s="241" t="n">
        <f aca="false">( ('Gross Margin'!$D$11*(1+$B10)) * 'Gross Margin'!$D$24 ) / MAX(Assumptions!$D$27*(1+E$6),0.05) / CAC!$D$17</f>
        <v>4.94518950437318</v>
      </c>
      <c r="F10" s="241" t="n">
        <f aca="false">( ('Gross Margin'!$D$11*(1+$B10)) * 'Gross Margin'!$D$24 ) / MAX(Assumptions!$D$27*(1+F$6),0.05) / CAC!$D$17</f>
        <v>3.95615160349854</v>
      </c>
      <c r="G10" s="241" t="n">
        <f aca="false">( ('Gross Margin'!$D$11*(1+$B10)) * 'Gross Margin'!$D$24 ) / MAX(Assumptions!$D$27*(1+G$6),0.05) / CAC!$D$17</f>
        <v>3.29679300291545</v>
      </c>
    </row>
    <row r="11" customFormat="false" ht="15" hidden="false" customHeight="true" outlineLevel="0" collapsed="false">
      <c r="B11" s="234" t="n">
        <v>0.2</v>
      </c>
      <c r="C11" s="241" t="n">
        <f aca="false">( ('Gross Margin'!$D$11*(1+$B11)) * 'Gross Margin'!$D$24 ) / MAX(Assumptions!$D$27*(1+C$6),0.05) / CAC!$D$17</f>
        <v>10.7895043731778</v>
      </c>
      <c r="D11" s="241" t="n">
        <f aca="false">( ('Gross Margin'!$D$11*(1+$B11)) * 'Gross Margin'!$D$24 ) / MAX(Assumptions!$D$27*(1+D$6),0.05) / CAC!$D$17</f>
        <v>7.19300291545189</v>
      </c>
      <c r="E11" s="241" t="n">
        <f aca="false">( ('Gross Margin'!$D$11*(1+$B11)) * 'Gross Margin'!$D$24 ) / MAX(Assumptions!$D$27*(1+E$6),0.05) / CAC!$D$17</f>
        <v>5.39475218658892</v>
      </c>
      <c r="F11" s="241" t="n">
        <f aca="false">( ('Gross Margin'!$D$11*(1+$B11)) * 'Gross Margin'!$D$24 ) / MAX(Assumptions!$D$27*(1+F$6),0.05) / CAC!$D$17</f>
        <v>4.31580174927114</v>
      </c>
      <c r="G11" s="241" t="n">
        <f aca="false">( ('Gross Margin'!$D$11*(1+$B11)) * 'Gross Margin'!$D$24 ) / MAX(Assumptions!$D$27*(1+G$6),0.05) / CAC!$D$17</f>
        <v>3.59650145772595</v>
      </c>
    </row>
    <row r="14" customFormat="false" ht="15" hidden="false" customHeight="true" outlineLevel="0" collapsed="false">
      <c r="B14" s="137" t="s">
        <v>841</v>
      </c>
      <c r="C14" s="137"/>
      <c r="D14" s="137"/>
      <c r="E14" s="137"/>
      <c r="F14" s="137"/>
      <c r="G14" s="137"/>
    </row>
    <row r="15" customFormat="false" ht="15" hidden="false" customHeight="true" outlineLevel="0" collapsed="false">
      <c r="B15" s="138" t="s">
        <v>842</v>
      </c>
      <c r="C15" s="234" t="n">
        <v>-0.3</v>
      </c>
      <c r="D15" s="234" t="n">
        <v>-0.15</v>
      </c>
      <c r="E15" s="234" t="n">
        <v>0</v>
      </c>
      <c r="F15" s="234" t="n">
        <v>0.15</v>
      </c>
      <c r="G15" s="234" t="n">
        <v>0.3</v>
      </c>
    </row>
    <row r="16" customFormat="false" ht="15" hidden="false" customHeight="true" outlineLevel="0" collapsed="false">
      <c r="B16" s="234" t="n">
        <v>-0.2</v>
      </c>
      <c r="C16" s="241" t="n">
        <f aca="false">( ('Gross Margin'!$D$11*(1+$B16)) * 'Gross Margin'!$D$24 ) / Assumptions!$D$27 / (CAC!$D$17*(1+C$15))</f>
        <v>5.13785922532278</v>
      </c>
      <c r="D16" s="241" t="n">
        <f aca="false">( ('Gross Margin'!$D$11*(1+$B16)) * 'Gross Margin'!$D$24 ) / Assumptions!$D$27 / (CAC!$D$17*(1+D$15))</f>
        <v>4.23117818555994</v>
      </c>
      <c r="E16" s="241" t="n">
        <f aca="false">( ('Gross Margin'!$D$11*(1+$B16)) * 'Gross Margin'!$D$24 ) / Assumptions!$D$27 / (CAC!$D$17*(1+E$15))</f>
        <v>3.59650145772595</v>
      </c>
      <c r="F16" s="241" t="n">
        <f aca="false">( ('Gross Margin'!$D$11*(1+$B16)) * 'Gross Margin'!$D$24 ) / Assumptions!$D$27 / (CAC!$D$17*(1+F$15))</f>
        <v>3.12739257193561</v>
      </c>
      <c r="G16" s="241" t="n">
        <f aca="false">( ('Gross Margin'!$D$11*(1+$B16)) * 'Gross Margin'!$D$24 ) / Assumptions!$D$27 / (CAC!$D$17*(1+G$15))</f>
        <v>2.76653958286611</v>
      </c>
    </row>
    <row r="17" customFormat="false" ht="15" hidden="false" customHeight="true" outlineLevel="0" collapsed="false">
      <c r="B17" s="234" t="n">
        <v>-0.1</v>
      </c>
      <c r="C17" s="241" t="n">
        <f aca="false">( ('Gross Margin'!$D$11*(1+$B17)) * 'Gross Margin'!$D$24 ) / Assumptions!$D$27 / (CAC!$D$17*(1+C$15))</f>
        <v>5.78009162848813</v>
      </c>
      <c r="D17" s="241" t="n">
        <f aca="false">( ('Gross Margin'!$D$11*(1+$B17)) * 'Gross Margin'!$D$24 ) / Assumptions!$D$27 / (CAC!$D$17*(1+D$15))</f>
        <v>4.76007545875493</v>
      </c>
      <c r="E17" s="241" t="n">
        <f aca="false">( ('Gross Margin'!$D$11*(1+$B17)) * 'Gross Margin'!$D$24 ) / Assumptions!$D$27 / (CAC!$D$17*(1+E$15))</f>
        <v>4.04606413994169</v>
      </c>
      <c r="F17" s="241" t="n">
        <f aca="false">( ('Gross Margin'!$D$11*(1+$B17)) * 'Gross Margin'!$D$24 ) / Assumptions!$D$27 / (CAC!$D$17*(1+F$15))</f>
        <v>3.51831664342756</v>
      </c>
      <c r="G17" s="241" t="n">
        <f aca="false">( ('Gross Margin'!$D$11*(1+$B17)) * 'Gross Margin'!$D$24 ) / Assumptions!$D$27 / (CAC!$D$17*(1+G$15))</f>
        <v>3.11235703072438</v>
      </c>
    </row>
    <row r="18" customFormat="false" ht="15" hidden="false" customHeight="true" outlineLevel="0" collapsed="false">
      <c r="B18" s="234" t="n">
        <v>0</v>
      </c>
      <c r="C18" s="241" t="n">
        <f aca="false">( ('Gross Margin'!$D$11*(1+$B18)) * 'Gross Margin'!$D$24 ) / Assumptions!$D$27 / (CAC!$D$17*(1+C$15))</f>
        <v>6.42232403165348</v>
      </c>
      <c r="D18" s="241" t="n">
        <f aca="false">( ('Gross Margin'!$D$11*(1+$B18)) * 'Gross Margin'!$D$24 ) / Assumptions!$D$27 / (CAC!$D$17*(1+D$15))</f>
        <v>5.28897273194992</v>
      </c>
      <c r="E18" s="241" t="n">
        <f aca="false">( ('Gross Margin'!$D$11*(1+$B18)) * 'Gross Margin'!$D$24 ) / Assumptions!$D$27 / (CAC!$D$17*(1+E$15))</f>
        <v>4.49562682215743</v>
      </c>
      <c r="F18" s="241" t="n">
        <f aca="false">( ('Gross Margin'!$D$11*(1+$B18)) * 'Gross Margin'!$D$24 ) / Assumptions!$D$27 / (CAC!$D$17*(1+F$15))</f>
        <v>3.90924071491951</v>
      </c>
      <c r="G18" s="241" t="n">
        <f aca="false">( ('Gross Margin'!$D$11*(1+$B18)) * 'Gross Margin'!$D$24 ) / Assumptions!$D$27 / (CAC!$D$17*(1+G$15))</f>
        <v>3.45817447858264</v>
      </c>
    </row>
    <row r="19" customFormat="false" ht="15" hidden="false" customHeight="true" outlineLevel="0" collapsed="false">
      <c r="B19" s="234" t="n">
        <v>0.1</v>
      </c>
      <c r="C19" s="241" t="n">
        <f aca="false">( ('Gross Margin'!$D$11*(1+$B19)) * 'Gross Margin'!$D$24 ) / Assumptions!$D$27 / (CAC!$D$17*(1+C$15))</f>
        <v>7.06455643481883</v>
      </c>
      <c r="D19" s="241" t="n">
        <f aca="false">( ('Gross Margin'!$D$11*(1+$B19)) * 'Gross Margin'!$D$24 ) / Assumptions!$D$27 / (CAC!$D$17*(1+D$15))</f>
        <v>5.81787000514492</v>
      </c>
      <c r="E19" s="241" t="n">
        <f aca="false">( ('Gross Margin'!$D$11*(1+$B19)) * 'Gross Margin'!$D$24 ) / Assumptions!$D$27 / (CAC!$D$17*(1+E$15))</f>
        <v>4.94518950437318</v>
      </c>
      <c r="F19" s="241" t="n">
        <f aca="false">( ('Gross Margin'!$D$11*(1+$B19)) * 'Gross Margin'!$D$24 ) / Assumptions!$D$27 / (CAC!$D$17*(1+F$15))</f>
        <v>4.30016478641146</v>
      </c>
      <c r="G19" s="241" t="n">
        <f aca="false">( ('Gross Margin'!$D$11*(1+$B19)) * 'Gross Margin'!$D$24 ) / Assumptions!$D$27 / (CAC!$D$17*(1+G$15))</f>
        <v>3.80399192644091</v>
      </c>
    </row>
    <row r="20" customFormat="false" ht="15" hidden="false" customHeight="true" outlineLevel="0" collapsed="false">
      <c r="B20" s="234" t="n">
        <v>0.2</v>
      </c>
      <c r="C20" s="241" t="n">
        <f aca="false">( ('Gross Margin'!$D$11*(1+$B20)) * 'Gross Margin'!$D$24 ) / Assumptions!$D$27 / (CAC!$D$17*(1+C$15))</f>
        <v>7.70678883798417</v>
      </c>
      <c r="D20" s="241" t="n">
        <f aca="false">( ('Gross Margin'!$D$11*(1+$B20)) * 'Gross Margin'!$D$24 ) / Assumptions!$D$27 / (CAC!$D$17*(1+D$15))</f>
        <v>6.34676727833991</v>
      </c>
      <c r="E20" s="241" t="n">
        <f aca="false">( ('Gross Margin'!$D$11*(1+$B20)) * 'Gross Margin'!$D$24 ) / Assumptions!$D$27 / (CAC!$D$17*(1+E$15))</f>
        <v>5.39475218658892</v>
      </c>
      <c r="F20" s="241" t="n">
        <f aca="false">( ('Gross Margin'!$D$11*(1+$B20)) * 'Gross Margin'!$D$24 ) / Assumptions!$D$27 / (CAC!$D$17*(1+F$15))</f>
        <v>4.69108885790341</v>
      </c>
      <c r="G20" s="241" t="n">
        <f aca="false">( ('Gross Margin'!$D$11*(1+$B20)) * 'Gross Margin'!$D$24 ) / Assumptions!$D$27 / (CAC!$D$17*(1+G$15))</f>
        <v>4.14980937429917</v>
      </c>
    </row>
    <row r="23" customFormat="false" ht="15" hidden="false" customHeight="true" outlineLevel="0" collapsed="false">
      <c r="B23" s="137" t="s">
        <v>843</v>
      </c>
      <c r="C23" s="137"/>
      <c r="D23" s="137"/>
      <c r="E23" s="137"/>
      <c r="F23" s="137"/>
      <c r="G23" s="137"/>
    </row>
    <row r="24" customFormat="false" ht="15" hidden="false" customHeight="true" outlineLevel="0" collapsed="false">
      <c r="B24" s="138" t="s">
        <v>842</v>
      </c>
      <c r="C24" s="234" t="n">
        <v>-0.3</v>
      </c>
      <c r="D24" s="234" t="n">
        <v>-0.15</v>
      </c>
      <c r="E24" s="234" t="n">
        <v>0</v>
      </c>
      <c r="F24" s="234" t="n">
        <v>0.15</v>
      </c>
      <c r="G24" s="234" t="n">
        <v>0.3</v>
      </c>
    </row>
    <row r="25" customFormat="false" ht="15" hidden="false" customHeight="true" outlineLevel="0" collapsed="false">
      <c r="B25" s="234" t="n">
        <v>-0.2</v>
      </c>
      <c r="C25" s="238" t="n">
        <f aca="false">(CAC!$D$17*(1+C$24)) / (('Gross Margin'!$D$11*(1+$B25))*'Gross Margin'!$D$24/12)</f>
        <v>5.83900778210117</v>
      </c>
      <c r="D25" s="238" t="n">
        <f aca="false">(CAC!$D$17*(1+D$24)) / (('Gross Margin'!$D$11*(1+$B25))*'Gross Margin'!$D$24/12)</f>
        <v>7.09022373540856</v>
      </c>
      <c r="E25" s="238" t="n">
        <f aca="false">(CAC!$D$17*(1+E$24)) / (('Gross Margin'!$D$11*(1+$B25))*'Gross Margin'!$D$24/12)</f>
        <v>8.34143968871595</v>
      </c>
      <c r="F25" s="238" t="n">
        <f aca="false">(CAC!$D$17*(1+F$24)) / (('Gross Margin'!$D$11*(1+$B25))*'Gross Margin'!$D$24/12)</f>
        <v>9.59265564202335</v>
      </c>
      <c r="G25" s="238" t="n">
        <f aca="false">(CAC!$D$17*(1+G$24)) / (('Gross Margin'!$D$11*(1+$B25))*'Gross Margin'!$D$24/12)</f>
        <v>10.8438715953307</v>
      </c>
    </row>
    <row r="26" customFormat="false" ht="15" hidden="false" customHeight="true" outlineLevel="0" collapsed="false">
      <c r="B26" s="234" t="n">
        <v>-0.1</v>
      </c>
      <c r="C26" s="238" t="n">
        <f aca="false">(CAC!$D$17*(1+C$24)) / (('Gross Margin'!$D$11*(1+$B26))*'Gross Margin'!$D$24/12)</f>
        <v>5.19022913964548</v>
      </c>
      <c r="D26" s="238" t="n">
        <f aca="false">(CAC!$D$17*(1+D$24)) / (('Gross Margin'!$D$11*(1+$B26))*'Gross Margin'!$D$24/12)</f>
        <v>6.30242109814094</v>
      </c>
      <c r="E26" s="238" t="n">
        <f aca="false">(CAC!$D$17*(1+E$24)) / (('Gross Margin'!$D$11*(1+$B26))*'Gross Margin'!$D$24/12)</f>
        <v>7.4146130566364</v>
      </c>
      <c r="F26" s="238" t="n">
        <f aca="false">(CAC!$D$17*(1+F$24)) / (('Gross Margin'!$D$11*(1+$B26))*'Gross Margin'!$D$24/12)</f>
        <v>8.52680501513186</v>
      </c>
      <c r="G26" s="238" t="n">
        <f aca="false">(CAC!$D$17*(1+G$24)) / (('Gross Margin'!$D$11*(1+$B26))*'Gross Margin'!$D$24/12)</f>
        <v>9.63899697362733</v>
      </c>
    </row>
    <row r="27" customFormat="false" ht="15" hidden="false" customHeight="true" outlineLevel="0" collapsed="false">
      <c r="B27" s="234" t="n">
        <v>0</v>
      </c>
      <c r="C27" s="238" t="n">
        <f aca="false">(CAC!$D$17*(1+C$24)) / (('Gross Margin'!$D$11*(1+$B27))*'Gross Margin'!$D$24/12)</f>
        <v>4.67120622568093</v>
      </c>
      <c r="D27" s="238" t="n">
        <f aca="false">(CAC!$D$17*(1+D$24)) / (('Gross Margin'!$D$11*(1+$B27))*'Gross Margin'!$D$24/12)</f>
        <v>5.67217898832685</v>
      </c>
      <c r="E27" s="238" t="n">
        <f aca="false">(CAC!$D$17*(1+E$24)) / (('Gross Margin'!$D$11*(1+$B27))*'Gross Margin'!$D$24/12)</f>
        <v>6.67315175097276</v>
      </c>
      <c r="F27" s="238" t="n">
        <f aca="false">(CAC!$D$17*(1+F$24)) / (('Gross Margin'!$D$11*(1+$B27))*'Gross Margin'!$D$24/12)</f>
        <v>7.67412451361868</v>
      </c>
      <c r="G27" s="238" t="n">
        <f aca="false">(CAC!$D$17*(1+G$24)) / (('Gross Margin'!$D$11*(1+$B27))*'Gross Margin'!$D$24/12)</f>
        <v>8.67509727626459</v>
      </c>
    </row>
    <row r="28" customFormat="false" ht="15" hidden="false" customHeight="true" outlineLevel="0" collapsed="false">
      <c r="B28" s="234" t="n">
        <v>0.1</v>
      </c>
      <c r="C28" s="238" t="n">
        <f aca="false">(CAC!$D$17*(1+C$24)) / (('Gross Margin'!$D$11*(1+$B28))*'Gross Margin'!$D$24/12)</f>
        <v>4.2465511142554</v>
      </c>
      <c r="D28" s="238" t="n">
        <f aca="false">(CAC!$D$17*(1+D$24)) / (('Gross Margin'!$D$11*(1+$B28))*'Gross Margin'!$D$24/12)</f>
        <v>5.15652635302441</v>
      </c>
      <c r="E28" s="238" t="n">
        <f aca="false">(CAC!$D$17*(1+E$24)) / (('Gross Margin'!$D$11*(1+$B28))*'Gross Margin'!$D$24/12)</f>
        <v>6.06650159179342</v>
      </c>
      <c r="F28" s="238" t="n">
        <f aca="false">(CAC!$D$17*(1+F$24)) / (('Gross Margin'!$D$11*(1+$B28))*'Gross Margin'!$D$24/12)</f>
        <v>6.97647683056243</v>
      </c>
      <c r="G28" s="238" t="n">
        <f aca="false">(CAC!$D$17*(1+G$24)) / (('Gross Margin'!$D$11*(1+$B28))*'Gross Margin'!$D$24/12)</f>
        <v>7.88645206933145</v>
      </c>
    </row>
    <row r="29" customFormat="false" ht="15" hidden="false" customHeight="true" outlineLevel="0" collapsed="false">
      <c r="B29" s="234" t="n">
        <v>0.2</v>
      </c>
      <c r="C29" s="238" t="n">
        <f aca="false">(CAC!$D$17*(1+C$24)) / (('Gross Margin'!$D$11*(1+$B29))*'Gross Margin'!$D$24/12)</f>
        <v>3.89267185473411</v>
      </c>
      <c r="D29" s="238" t="n">
        <f aca="false">(CAC!$D$17*(1+D$24)) / (('Gross Margin'!$D$11*(1+$B29))*'Gross Margin'!$D$24/12)</f>
        <v>4.72681582360571</v>
      </c>
      <c r="E29" s="238" t="n">
        <f aca="false">(CAC!$D$17*(1+E$24)) / (('Gross Margin'!$D$11*(1+$B29))*'Gross Margin'!$D$24/12)</f>
        <v>5.5609597924773</v>
      </c>
      <c r="F29" s="238" t="n">
        <f aca="false">(CAC!$D$17*(1+F$24)) / (('Gross Margin'!$D$11*(1+$B29))*'Gross Margin'!$D$24/12)</f>
        <v>6.3951037613489</v>
      </c>
      <c r="G29" s="238" t="n">
        <f aca="false">(CAC!$D$17*(1+G$24)) / (('Gross Margin'!$D$11*(1+$B29))*'Gross Margin'!$D$24/12)</f>
        <v>7.22924773022049</v>
      </c>
    </row>
  </sheetData>
  <mergeCells count="4">
    <mergeCell ref="B2:G2"/>
    <mergeCell ref="B5:G5"/>
    <mergeCell ref="B14:G14"/>
    <mergeCell ref="B23:G23"/>
  </mergeCells>
  <conditionalFormatting sqref="C7:G11">
    <cfRule type="colorScale" priority="2">
      <colorScale>
        <cfvo type="num" val="1"/>
        <cfvo type="num" val="3"/>
        <cfvo type="num" val="6"/>
        <color rgb="FFFFC7CE"/>
        <color rgb="FFFFEB9C"/>
        <color rgb="FFC6EFCE"/>
      </colorScale>
    </cfRule>
  </conditionalFormatting>
  <conditionalFormatting sqref="C16:G20">
    <cfRule type="colorScale" priority="3">
      <colorScale>
        <cfvo type="num" val="1"/>
        <cfvo type="num" val="3"/>
        <cfvo type="num" val="6"/>
        <color rgb="FFFFC7CE"/>
        <color rgb="FFFFEB9C"/>
        <color rgb="FFC6EFCE"/>
      </colorScale>
    </cfRule>
  </conditionalFormatting>
  <conditionalFormatting sqref="C25:G29">
    <cfRule type="colorScale" priority="4">
      <colorScale>
        <cfvo type="num" val="6"/>
        <cfvo type="num" val="18"/>
        <cfvo type="num" val="36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4"/>
    <col collapsed="false" customWidth="true" hidden="false" outlineLevel="0" max="7" min="7" style="1" width="50"/>
  </cols>
  <sheetData>
    <row r="2" customFormat="false" ht="25.5" hidden="false" customHeight="true" outlineLevel="0" collapsed="false">
      <c r="B2" s="135" t="s">
        <v>844</v>
      </c>
      <c r="C2" s="135"/>
      <c r="D2" s="135"/>
      <c r="E2" s="135"/>
    </row>
    <row r="5" customFormat="false" ht="15" hidden="false" customHeight="true" outlineLevel="0" collapsed="false">
      <c r="B5" s="113" t="s">
        <v>845</v>
      </c>
      <c r="C5" s="113"/>
      <c r="D5" s="113"/>
      <c r="E5" s="113"/>
    </row>
    <row r="6" customFormat="false" ht="15" hidden="false" customHeight="true" outlineLevel="0" collapsed="false">
      <c r="B6" s="97" t="s">
        <v>47</v>
      </c>
      <c r="C6" s="107" t="s">
        <v>657</v>
      </c>
      <c r="D6" s="107" t="s">
        <v>592</v>
      </c>
      <c r="E6" s="107" t="s">
        <v>658</v>
      </c>
    </row>
    <row r="7" customFormat="false" ht="15" hidden="false" customHeight="true" outlineLevel="0" collapsed="false">
      <c r="B7" s="108" t="s">
        <v>846</v>
      </c>
      <c r="C7" s="200" t="n">
        <v>10000000</v>
      </c>
      <c r="D7" s="200" t="n">
        <v>10000000</v>
      </c>
      <c r="E7" s="200" t="n">
        <v>10000000</v>
      </c>
    </row>
    <row r="8" customFormat="false" ht="15" hidden="false" customHeight="true" outlineLevel="0" collapsed="false">
      <c r="B8" s="108" t="s">
        <v>847</v>
      </c>
      <c r="C8" s="227" t="n">
        <f aca="false">LTV!C7</f>
        <v>43.8</v>
      </c>
      <c r="D8" s="227" t="n">
        <f aca="false">LTV!D7</f>
        <v>196.2</v>
      </c>
      <c r="E8" s="227" t="n">
        <f aca="false">LTV!E7</f>
        <v>806.4</v>
      </c>
    </row>
    <row r="9" customFormat="false" ht="26.25" hidden="false" customHeight="true" outlineLevel="0" collapsed="false">
      <c r="B9" s="97" t="s">
        <v>848</v>
      </c>
      <c r="C9" s="246" t="n">
        <f aca="false">C7/C8</f>
        <v>228310.502283105</v>
      </c>
      <c r="D9" s="246" t="n">
        <f aca="false">D7/D8</f>
        <v>50968.3995922528</v>
      </c>
      <c r="E9" s="246" t="n">
        <f aca="false">E7/E8</f>
        <v>12400.7936507937</v>
      </c>
    </row>
    <row r="10" customFormat="false" ht="15" hidden="false" customHeight="true" outlineLevel="0" collapsed="false">
      <c r="B10" s="108" t="s">
        <v>407</v>
      </c>
      <c r="C10" s="225" t="n">
        <f aca="false">'Gross Margin'!C8</f>
        <v>0.09</v>
      </c>
      <c r="D10" s="225" t="n">
        <f aca="false">'Gross Margin'!D8</f>
        <v>0.12</v>
      </c>
      <c r="E10" s="225" t="n">
        <f aca="false">'Gross Margin'!E8</f>
        <v>0.15</v>
      </c>
    </row>
    <row r="11" customFormat="false" ht="15" hidden="false" customHeight="true" outlineLevel="0" collapsed="false">
      <c r="B11" s="97" t="s">
        <v>849</v>
      </c>
      <c r="C11" s="216" t="n">
        <f aca="false">C7/C10</f>
        <v>111111111.111111</v>
      </c>
      <c r="D11" s="216" t="n">
        <f aca="false">D7/D10</f>
        <v>83333333.3333333</v>
      </c>
      <c r="E11" s="216" t="n">
        <f aca="false">E7/E10</f>
        <v>66666666.6666667</v>
      </c>
    </row>
    <row r="13" customFormat="false" ht="15" hidden="false" customHeight="true" outlineLevel="0" collapsed="false">
      <c r="B13" s="113" t="s">
        <v>850</v>
      </c>
      <c r="C13" s="113"/>
      <c r="D13" s="113"/>
      <c r="E13" s="113"/>
    </row>
    <row r="14" customFormat="false" ht="15" hidden="false" customHeight="true" outlineLevel="0" collapsed="false">
      <c r="B14" s="108" t="s">
        <v>851</v>
      </c>
      <c r="C14" s="200" t="n">
        <v>1000000</v>
      </c>
      <c r="D14" s="200" t="n">
        <v>1000000</v>
      </c>
      <c r="E14" s="200" t="n">
        <v>1000000</v>
      </c>
    </row>
    <row r="15" customFormat="false" ht="15" hidden="false" customHeight="true" outlineLevel="0" collapsed="false">
      <c r="B15" s="97" t="s">
        <v>852</v>
      </c>
      <c r="C15" s="250" t="n">
        <f aca="false">C11/C14</f>
        <v>111.111111111111</v>
      </c>
      <c r="D15" s="250" t="n">
        <f aca="false">D11/D14</f>
        <v>83.3333333333333</v>
      </c>
      <c r="E15" s="250" t="n">
        <f aca="false">E11/E14</f>
        <v>66.6666666666667</v>
      </c>
    </row>
    <row r="16" customFormat="false" ht="26.25" hidden="false" customHeight="true" outlineLevel="0" collapsed="false">
      <c r="B16" s="108" t="s">
        <v>853</v>
      </c>
      <c r="C16" s="220" t="n">
        <f aca="false">C15^(1/4)-1</f>
        <v>2.24667915475099</v>
      </c>
      <c r="D16" s="220" t="n">
        <f aca="false">D15^(1/4)-1</f>
        <v>2.02137539735677</v>
      </c>
      <c r="E16" s="220" t="n">
        <f aca="false">E15^(1/4)-1</f>
        <v>1.8574404296988</v>
      </c>
    </row>
    <row r="18" customFormat="false" ht="15" hidden="false" customHeight="true" outlineLevel="0" collapsed="false">
      <c r="B18" s="113" t="s">
        <v>854</v>
      </c>
      <c r="C18" s="113"/>
      <c r="D18" s="113"/>
      <c r="E18" s="113"/>
    </row>
    <row r="19" customFormat="false" ht="26.25" hidden="false" customHeight="true" outlineLevel="0" collapsed="false">
      <c r="B19" s="107" t="s">
        <v>4</v>
      </c>
      <c r="C19" s="107" t="s">
        <v>855</v>
      </c>
      <c r="D19" s="107" t="s">
        <v>856</v>
      </c>
      <c r="E19" s="107" t="s">
        <v>857</v>
      </c>
    </row>
    <row r="20" customFormat="false" ht="15" hidden="false" customHeight="true" outlineLevel="0" collapsed="false">
      <c r="B20" s="108" t="s">
        <v>858</v>
      </c>
      <c r="C20" s="220" t="n">
        <f aca="false">Assumptions!D12</f>
        <v>0.12</v>
      </c>
      <c r="D20" s="217" t="n">
        <v>0.18</v>
      </c>
      <c r="E20" s="226" t="n">
        <f aca="false">Assumptions!D9*(D20-C20)</f>
        <v>72</v>
      </c>
    </row>
    <row r="21" customFormat="false" ht="15" hidden="false" customHeight="true" outlineLevel="0" collapsed="false">
      <c r="B21" s="108" t="s">
        <v>859</v>
      </c>
      <c r="C21" s="235" t="n">
        <f aca="false">Assumptions!D7</f>
        <v>200</v>
      </c>
      <c r="D21" s="200" t="n">
        <v>500</v>
      </c>
      <c r="E21" s="226" t="n">
        <f aca="false">(D21-C21)*Assumptions!D8*Assumptions!D12</f>
        <v>216</v>
      </c>
    </row>
    <row r="22" customFormat="false" ht="15" hidden="false" customHeight="true" outlineLevel="0" collapsed="false">
      <c r="B22" s="108" t="s">
        <v>860</v>
      </c>
      <c r="C22" s="251" t="n">
        <f aca="false">Assumptions!D8</f>
        <v>6</v>
      </c>
      <c r="D22" s="215" t="n">
        <v>12</v>
      </c>
      <c r="E22" s="226" t="n">
        <f aca="false">(D22-C22)*Assumptions!D7*Assumptions!D12</f>
        <v>144</v>
      </c>
    </row>
    <row r="23" customFormat="false" ht="15" hidden="false" customHeight="true" outlineLevel="0" collapsed="false">
      <c r="B23" s="108" t="s">
        <v>861</v>
      </c>
      <c r="C23" s="220" t="n">
        <f aca="false">Assumptions!D17</f>
        <v>0.15</v>
      </c>
      <c r="D23" s="217" t="n">
        <v>0.4</v>
      </c>
      <c r="E23" s="226" t="n">
        <f aca="false">(D23-C23)*Assumptions!D16*12</f>
        <v>87</v>
      </c>
    </row>
    <row r="24" customFormat="false" ht="26.25" hidden="false" customHeight="true" outlineLevel="0" collapsed="false">
      <c r="B24" s="108" t="s">
        <v>862</v>
      </c>
      <c r="C24" s="217" t="n">
        <v>0</v>
      </c>
      <c r="D24" s="217" t="n">
        <v>0.03</v>
      </c>
      <c r="E24" s="226" t="n">
        <f aca="false">(D24-C24)*Assumptions!D9</f>
        <v>36</v>
      </c>
    </row>
    <row r="25" customFormat="false" ht="15" hidden="false" customHeight="true" outlineLevel="0" collapsed="false">
      <c r="B25" s="97" t="s">
        <v>863</v>
      </c>
      <c r="E25" s="252" t="n">
        <f aca="false">Assumptions!D9*Assumptions!D12+Assumptions!D18+SUM(E20:E24)</f>
        <v>751.2</v>
      </c>
    </row>
    <row r="26" customFormat="false" ht="26.25" hidden="false" customHeight="true" outlineLevel="0" collapsed="false">
      <c r="B26" s="97" t="s">
        <v>864</v>
      </c>
      <c r="E26" s="253" t="n">
        <f aca="false">10000000/E25</f>
        <v>13312.0340788072</v>
      </c>
    </row>
  </sheetData>
  <mergeCells count="4">
    <mergeCell ref="B2:E2"/>
    <mergeCell ref="B5:E5"/>
    <mergeCell ref="B13:E13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8"/>
    <col collapsed="false" customWidth="true" hidden="false" outlineLevel="0" max="6" min="6" style="1" width="4"/>
    <col collapsed="false" customWidth="true" hidden="false" outlineLevel="0" max="7" min="7" style="1" width="60"/>
  </cols>
  <sheetData>
    <row r="2" customFormat="false" ht="25.5" hidden="false" customHeight="true" outlineLevel="0" collapsed="false">
      <c r="B2" s="135" t="s">
        <v>865</v>
      </c>
      <c r="C2" s="135"/>
      <c r="D2" s="135"/>
      <c r="E2" s="135"/>
    </row>
    <row r="5" customFormat="false" ht="15" hidden="false" customHeight="true" outlineLevel="0" collapsed="false">
      <c r="B5" s="113" t="s">
        <v>866</v>
      </c>
      <c r="C5" s="113"/>
      <c r="D5" s="113"/>
      <c r="E5" s="113"/>
    </row>
    <row r="6" customFormat="false" ht="15" hidden="false" customHeight="true" outlineLevel="0" collapsed="false">
      <c r="B6" s="107" t="s">
        <v>551</v>
      </c>
      <c r="C6" s="107" t="s">
        <v>867</v>
      </c>
      <c r="D6" s="107" t="s">
        <v>868</v>
      </c>
      <c r="E6" s="107" t="s">
        <v>340</v>
      </c>
    </row>
    <row r="7" customFormat="false" ht="15" hidden="false" customHeight="true" outlineLevel="0" collapsed="false">
      <c r="B7" s="108" t="s">
        <v>342</v>
      </c>
      <c r="C7" s="241" t="n">
        <f aca="false">LTV!D16/CAC!D17</f>
        <v>5.13785922532278</v>
      </c>
      <c r="D7" s="108" t="s">
        <v>869</v>
      </c>
      <c r="E7" s="110" t="str">
        <f aca="false">IF(C7&gt;=3,"OK",IF(C7&gt;=2,"AMBAR","ROJO"))</f>
        <v>OK</v>
      </c>
    </row>
    <row r="8" customFormat="false" ht="15" hidden="false" customHeight="true" outlineLevel="0" collapsed="false">
      <c r="B8" s="108" t="s">
        <v>136</v>
      </c>
      <c r="C8" s="238" t="n">
        <f aca="false">CAC!D17/(LTV!D9/12)</f>
        <v>6.67315175097276</v>
      </c>
      <c r="D8" s="108" t="s">
        <v>870</v>
      </c>
      <c r="E8" s="110" t="str">
        <f aca="false">IF(C8&lt;=12,"OK",IF(C8&lt;=18,"AMBAR","ROJO"))</f>
        <v>OK</v>
      </c>
    </row>
    <row r="9" customFormat="false" ht="15" hidden="false" customHeight="true" outlineLevel="0" collapsed="false">
      <c r="B9" s="108" t="s">
        <v>124</v>
      </c>
      <c r="C9" s="220" t="n">
        <f aca="false">'Gross Margin'!D24</f>
        <v>0.785932721712538</v>
      </c>
      <c r="D9" s="108" t="s">
        <v>871</v>
      </c>
      <c r="E9" s="110" t="str">
        <f aca="false">IF(C9&gt;=0.7,"OK",IF(C9&gt;=0.6,"AMBAR","ROJO"))</f>
        <v>OK</v>
      </c>
    </row>
    <row r="10" customFormat="false" ht="15" hidden="false" customHeight="true" outlineLevel="0" collapsed="false">
      <c r="B10" s="108" t="s">
        <v>872</v>
      </c>
      <c r="C10" s="220" t="n">
        <f aca="false">Assumptions!D27</f>
        <v>0.4</v>
      </c>
      <c r="D10" s="108" t="s">
        <v>873</v>
      </c>
      <c r="E10" s="110" t="str">
        <f aca="false">IF(C10&lt;=0.3,"OK",IF(C10&lt;=0.5,"AMBAR","ROJO"))</f>
        <v>AMBAR</v>
      </c>
    </row>
    <row r="11" customFormat="false" ht="15" hidden="false" customHeight="true" outlineLevel="0" collapsed="false">
      <c r="B11" s="108" t="s">
        <v>874</v>
      </c>
      <c r="C11" s="220" t="n">
        <f aca="false">Assumptions!D28</f>
        <v>1.05</v>
      </c>
      <c r="D11" s="108" t="s">
        <v>875</v>
      </c>
      <c r="E11" s="110" t="str">
        <f aca="false">IF(C11&gt;=1,"OK",IF(C11&gt;=0.9,"AMBAR","ROJO"))</f>
        <v>OK</v>
      </c>
    </row>
    <row r="12" customFormat="false" ht="15" hidden="false" customHeight="true" outlineLevel="0" collapsed="false">
      <c r="B12" s="108" t="s">
        <v>507</v>
      </c>
      <c r="C12" s="254" t="n">
        <f aca="false">'Break-even'!D26/(LTV!D7*'Break-even'!D18*0.5)</f>
        <v>-2.37384280101775</v>
      </c>
      <c r="D12" s="108" t="s">
        <v>876</v>
      </c>
      <c r="E12" s="110" t="str">
        <f aca="false">IF(C12&lt;=1,"OK",IF(C12&lt;=2,"AMBAR","ROJO"))</f>
        <v>OK</v>
      </c>
    </row>
    <row r="13" customFormat="false" ht="15" hidden="false" customHeight="true" outlineLevel="0" collapsed="false">
      <c r="B13" s="108" t="s">
        <v>407</v>
      </c>
      <c r="C13" s="220" t="n">
        <f aca="false">Assumptions!D12</f>
        <v>0.12</v>
      </c>
      <c r="D13" s="108" t="s">
        <v>877</v>
      </c>
      <c r="E13" s="110" t="str">
        <f aca="false">IF(C13&gt;=0.15,"OK",IF(C13&gt;=0.1,"AMBAR","ROJO"))</f>
        <v>AMBAR</v>
      </c>
    </row>
    <row r="14" customFormat="false" ht="26.25" hidden="false" customHeight="true" outlineLevel="0" collapsed="false">
      <c r="B14" s="108" t="s">
        <v>878</v>
      </c>
      <c r="C14" s="220" t="n">
        <f aca="false">0.4</f>
        <v>0.4</v>
      </c>
      <c r="D14" s="108" t="s">
        <v>873</v>
      </c>
      <c r="E14" s="110" t="str">
        <f aca="false">IF(C14&lt;=0.3,"OK",IF(C14&lt;=0.5,"AMBAR","ROJO"))</f>
        <v>AMBAR</v>
      </c>
    </row>
    <row r="17" customFormat="false" ht="15" hidden="false" customHeight="true" outlineLevel="0" collapsed="false">
      <c r="B17" s="113" t="s">
        <v>879</v>
      </c>
      <c r="C17" s="113"/>
      <c r="D17" s="113"/>
      <c r="E17" s="113"/>
    </row>
    <row r="18" customFormat="false" ht="15" hidden="false" customHeight="true" outlineLevel="0" collapsed="false">
      <c r="B18" s="107" t="s">
        <v>341</v>
      </c>
      <c r="C18" s="107" t="s">
        <v>580</v>
      </c>
      <c r="D18" s="107"/>
      <c r="E18" s="107" t="s">
        <v>880</v>
      </c>
    </row>
    <row r="19" customFormat="false" ht="34.5" hidden="false" customHeight="true" outlineLevel="0" collapsed="false">
      <c r="B19" s="255" t="s">
        <v>881</v>
      </c>
      <c r="C19" s="108" t="s">
        <v>882</v>
      </c>
      <c r="D19" s="108"/>
      <c r="E19" s="108" t="s">
        <v>883</v>
      </c>
    </row>
    <row r="20" customFormat="false" ht="34.5" hidden="false" customHeight="true" outlineLevel="0" collapsed="false">
      <c r="B20" s="230" t="s">
        <v>884</v>
      </c>
      <c r="C20" s="108" t="s">
        <v>885</v>
      </c>
      <c r="D20" s="108"/>
      <c r="E20" s="108" t="s">
        <v>886</v>
      </c>
    </row>
    <row r="21" customFormat="false" ht="34.5" hidden="false" customHeight="true" outlineLevel="0" collapsed="false">
      <c r="B21" s="230" t="s">
        <v>887</v>
      </c>
      <c r="C21" s="108" t="s">
        <v>888</v>
      </c>
      <c r="D21" s="108"/>
      <c r="E21" s="108" t="s">
        <v>889</v>
      </c>
    </row>
    <row r="22" customFormat="false" ht="34.5" hidden="false" customHeight="true" outlineLevel="0" collapsed="false">
      <c r="B22" s="230" t="s">
        <v>890</v>
      </c>
      <c r="C22" s="108" t="s">
        <v>891</v>
      </c>
      <c r="D22" s="108"/>
      <c r="E22" s="108" t="s">
        <v>892</v>
      </c>
    </row>
    <row r="23" customFormat="false" ht="34.5" hidden="false" customHeight="true" outlineLevel="0" collapsed="false">
      <c r="B23" s="256" t="s">
        <v>893</v>
      </c>
      <c r="C23" s="108" t="s">
        <v>894</v>
      </c>
      <c r="D23" s="108"/>
      <c r="E23" s="108" t="s">
        <v>895</v>
      </c>
    </row>
  </sheetData>
  <mergeCells count="9">
    <mergeCell ref="B2:E2"/>
    <mergeCell ref="B5:E5"/>
    <mergeCell ref="B17:E17"/>
    <mergeCell ref="C18:D18"/>
    <mergeCell ref="C19:D19"/>
    <mergeCell ref="C20:D20"/>
    <mergeCell ref="C21:D21"/>
    <mergeCell ref="C22:D22"/>
    <mergeCell ref="C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2026-04-27T16:55:40Z</dcterms:created>
  <dc:creator>openpyxl</dc:creator>
  <dc:description/>
  <dc:language>en-US</dc:language>
  <cp:lastModifiedBy/>
  <dcterms:modified xsi:type="dcterms:W3CDTF">2026-04-30T20:27:12Z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